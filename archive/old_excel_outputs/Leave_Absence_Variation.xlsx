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158" documentId="8_{12A240F9-29A3-4FE6-A7CB-A9C0075D9A69}" xr6:coauthVersionLast="47" xr6:coauthVersionMax="47" xr10:uidLastSave="{82933C58-A6BA-4E5F-9AFB-37AD255DDD0B}"/>
  <bookViews>
    <workbookView xWindow="-120" yWindow="-120" windowWidth="29040" windowHeight="15720" firstSheet="2" activeTab="7" xr2:uid="{00000000-000D-0000-FFFF-FFFF00000000}"/>
  </bookViews>
  <sheets>
    <sheet name="Leave by Employee" sheetId="1" r:id="rId1"/>
    <sheet name="Leave by Department" sheetId="3" r:id="rId2"/>
    <sheet name="Leave by Country" sheetId="5" r:id="rId3"/>
    <sheet name="Leave by Group" sheetId="7" r:id="rId4"/>
    <sheet name="Time by Employee" sheetId="2" r:id="rId5"/>
    <sheet name="Time by Department" sheetId="4" r:id="rId6"/>
    <sheet name="Time by Country" sheetId="6" r:id="rId7"/>
    <sheet name="Time by Group " sheetId="8" r:id="rId8"/>
    <sheet name="Sheet1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8" i="1"/>
  <c r="N9" i="1"/>
  <c r="N10" i="1"/>
  <c r="N11" i="1"/>
  <c r="N13" i="1"/>
  <c r="N15" i="1"/>
  <c r="N16" i="1"/>
  <c r="N17" i="1"/>
  <c r="N18" i="1"/>
  <c r="N19" i="1"/>
  <c r="N22" i="1"/>
  <c r="N24" i="1"/>
  <c r="N25" i="1"/>
  <c r="N26" i="1"/>
  <c r="N27" i="1"/>
  <c r="N28" i="1"/>
  <c r="N29" i="1"/>
  <c r="N32" i="1"/>
  <c r="N35" i="1"/>
  <c r="N36" i="1"/>
  <c r="N37" i="1"/>
  <c r="N38" i="1"/>
  <c r="N39" i="1"/>
  <c r="N40" i="1"/>
  <c r="N43" i="1"/>
  <c r="N45" i="1"/>
  <c r="N46" i="1"/>
  <c r="N49" i="1"/>
  <c r="N56" i="1"/>
  <c r="N59" i="1"/>
  <c r="N60" i="1"/>
  <c r="N61" i="1"/>
  <c r="N62" i="1"/>
  <c r="N63" i="1"/>
  <c r="N67" i="1"/>
  <c r="N69" i="1"/>
  <c r="N71" i="1"/>
  <c r="N72" i="1"/>
  <c r="N73" i="1"/>
  <c r="N76" i="1"/>
  <c r="FX23" i="2"/>
  <c r="D5" i="8"/>
  <c r="D6" i="8"/>
  <c r="D7" i="8"/>
  <c r="D5" i="6"/>
  <c r="D5" i="4"/>
  <c r="D6" i="4"/>
  <c r="D7" i="4"/>
  <c r="D8" i="4"/>
  <c r="D9" i="4"/>
  <c r="D11" i="4"/>
  <c r="D12" i="4"/>
  <c r="D13" i="4"/>
  <c r="D14" i="4"/>
  <c r="D15" i="4"/>
</calcChain>
</file>

<file path=xl/sharedStrings.xml><?xml version="1.0" encoding="utf-8"?>
<sst xmlns="http://schemas.openxmlformats.org/spreadsheetml/2006/main" count="2750" uniqueCount="368">
  <si>
    <t>Leave by Employee</t>
  </si>
  <si>
    <t>Employee</t>
  </si>
  <si>
    <t>Team</t>
  </si>
  <si>
    <t>Country</t>
  </si>
  <si>
    <t>Group</t>
  </si>
  <si>
    <t>Annual Leave Remaining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</si>
  <si>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</si>
  <si>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</si>
  <si>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</si>
  <si>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</si>
  <si>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</si>
  <si>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</si>
  <si>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</si>
  <si>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</si>
  <si>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</si>
  <si>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</si>
  <si>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Alex William McGregor</t>
  </si>
  <si>
    <t>Amine El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</si>
  <si>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</si>
  <si>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</si>
  <si>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</si>
  <si>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</si>
  <si>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</si>
  <si>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</si>
  <si>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</si>
  <si>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</si>
  <si>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</si>
  <si>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</si>
  <si>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</si>
  <si>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</si>
  <si>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</si>
  <si>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</si>
  <si>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</si>
  <si>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</si>
  <si>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</si>
  <si>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</si>
  <si>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</si>
  <si>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</si>
  <si>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</si>
  <si>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</si>
  <si>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</si>
  <si>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</si>
  <si>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</si>
  <si>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</si>
  <si>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</si>
  <si>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</si>
  <si>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</si>
  <si>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</si>
  <si>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</si>
  <si>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</si>
  <si>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Seung Lee</t>
  </si>
  <si>
    <t>Property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</si>
  <si>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</si>
  <si>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</si>
  <si>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</si>
  <si>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</si>
  <si>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</si>
  <si>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</si>
  <si>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</si>
  <si>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</si>
  <si>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</si>
  <si>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</si>
  <si>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</si>
  <si>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</si>
  <si>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</si>
  <si>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</si>
  <si>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</si>
  <si>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</si>
  <si>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</si>
  <si>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</si>
  <si>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</si>
  <si>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</si>
  <si>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</si>
  <si>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</si>
  <si>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</si>
  <si>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</si>
  <si>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Otto Franklin Carlisle</t>
  </si>
  <si>
    <t>Patrik Böhm</t>
  </si>
  <si>
    <t>Philip Woolfson</t>
  </si>
  <si>
    <t>Rasmus Bölcho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</si>
  <si>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</si>
  <si>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</si>
  <si>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</si>
  <si>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</si>
  <si>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</si>
  <si>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</si>
  <si>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</si>
  <si>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</si>
  <si>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Heather Lenehan</t>
  </si>
  <si>
    <t>HR</t>
  </si>
  <si>
    <t>Stefanie Lenehan</t>
  </si>
  <si>
    <t>Susie Pan</t>
  </si>
  <si>
    <t>Teddy Powell</t>
  </si>
  <si>
    <t>Tom Christopher Richold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</si>
  <si>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</si>
  <si>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</si>
  <si>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</si>
  <si>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</si>
  <si>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</si>
  <si>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</si>
  <si>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</si>
  <si>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</si>
  <si>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</si>
  <si>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</si>
  <si>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</si>
  <si>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2026-01-27</t>
  </si>
  <si>
    <t>09:00</t>
  </si>
  <si>
    <t>17:00</t>
  </si>
  <si>
    <t>00:30</t>
  </si>
  <si>
    <t>09:03</t>
  </si>
  <si>
    <t>17:30</t>
  </si>
  <si>
    <t>00:32</t>
  </si>
  <si>
    <t>13:44</t>
  </si>
  <si>
    <t>17:42</t>
  </si>
  <si>
    <t>00:37</t>
  </si>
  <si>
    <t>08:51</t>
  </si>
  <si>
    <t>19:37</t>
  </si>
  <si>
    <t>00:31</t>
  </si>
  <si>
    <t>09:08</t>
  </si>
  <si>
    <t>00:36</t>
  </si>
  <si>
    <t>08:32</t>
  </si>
  <si>
    <t>09:55</t>
  </si>
  <si>
    <t>17:44</t>
  </si>
  <si>
    <t>00:42</t>
  </si>
  <si>
    <t>08:54</t>
  </si>
  <si>
    <t>00:38</t>
  </si>
  <si>
    <t>09:29</t>
  </si>
  <si>
    <t>17:34</t>
  </si>
  <si>
    <t>08:45</t>
  </si>
  <si>
    <t>08:53</t>
  </si>
  <si>
    <t>17:49</t>
  </si>
  <si>
    <t>00:45</t>
  </si>
  <si>
    <t>09:04</t>
  </si>
  <si>
    <t>17:36</t>
  </si>
  <si>
    <t>00:41</t>
  </si>
  <si>
    <t>09:14</t>
  </si>
  <si>
    <t>00:34</t>
  </si>
  <si>
    <t>17:16</t>
  </si>
  <si>
    <t>08:50</t>
  </si>
  <si>
    <t>17:35</t>
  </si>
  <si>
    <t>00:33</t>
  </si>
  <si>
    <t>19:36</t>
  </si>
  <si>
    <t>00:40</t>
  </si>
  <si>
    <t>10:10</t>
  </si>
  <si>
    <t>19:32</t>
  </si>
  <si>
    <t>00:43</t>
  </si>
  <si>
    <t>09:13</t>
  </si>
  <si>
    <t>00:39</t>
  </si>
  <si>
    <t>17:25</t>
  </si>
  <si>
    <t>08:46</t>
  </si>
  <si>
    <t>17:43</t>
  </si>
  <si>
    <t>09:01</t>
  </si>
  <si>
    <t>08:56</t>
  </si>
  <si>
    <t>08:38</t>
  </si>
  <si>
    <t>2026-01-28</t>
  </si>
  <si>
    <t>11:58</t>
  </si>
  <si>
    <t>10:11</t>
  </si>
  <si>
    <t>17:28</t>
  </si>
  <si>
    <t>09:53</t>
  </si>
  <si>
    <t>18:11</t>
  </si>
  <si>
    <t>09:18</t>
  </si>
  <si>
    <t>18:58</t>
  </si>
  <si>
    <t>09:48</t>
  </si>
  <si>
    <t>09:50</t>
  </si>
  <si>
    <t>00:55</t>
  </si>
  <si>
    <t>18:10</t>
  </si>
  <si>
    <t>09:28</t>
  </si>
  <si>
    <t>18:43</t>
  </si>
  <si>
    <t>10:06</t>
  </si>
  <si>
    <t>18:56</t>
  </si>
  <si>
    <t>00:44</t>
  </si>
  <si>
    <t>10:55</t>
  </si>
  <si>
    <t>18:31</t>
  </si>
  <si>
    <t>10:12</t>
  </si>
  <si>
    <t>17:38</t>
  </si>
  <si>
    <t>00:46</t>
  </si>
  <si>
    <t>09:44</t>
  </si>
  <si>
    <t>09:52</t>
  </si>
  <si>
    <t>00:35</t>
  </si>
  <si>
    <t>09:11</t>
  </si>
  <si>
    <t>14:06</t>
  </si>
  <si>
    <t>08:36</t>
  </si>
  <si>
    <t>09:49</t>
  </si>
  <si>
    <t>17:39</t>
  </si>
  <si>
    <t>10:09</t>
  </si>
  <si>
    <t>17:33</t>
  </si>
  <si>
    <t>2026-01-29</t>
  </si>
  <si>
    <t>17:29</t>
  </si>
  <si>
    <t>18:08</t>
  </si>
  <si>
    <t>09:21</t>
  </si>
  <si>
    <t>08:57</t>
  </si>
  <si>
    <t>17:48</t>
  </si>
  <si>
    <t>08:55</t>
  </si>
  <si>
    <t>18:02</t>
  </si>
  <si>
    <t>09:07</t>
  </si>
  <si>
    <t>08:52</t>
  </si>
  <si>
    <t>17:41</t>
  </si>
  <si>
    <t>00:00</t>
  </si>
  <si>
    <t>07:46</t>
  </si>
  <si>
    <t>19:13</t>
  </si>
  <si>
    <t>09:02</t>
  </si>
  <si>
    <t>09:23</t>
  </si>
  <si>
    <t>17:07</t>
  </si>
  <si>
    <t>09:45</t>
  </si>
  <si>
    <t>13:57</t>
  </si>
  <si>
    <t>17:27</t>
  </si>
  <si>
    <t>09:06</t>
  </si>
  <si>
    <t>08:35</t>
  </si>
  <si>
    <t>17:54</t>
  </si>
  <si>
    <t>17:32</t>
  </si>
  <si>
    <t>08:30</t>
  </si>
  <si>
    <t>08:49</t>
  </si>
  <si>
    <t>08:47</t>
  </si>
  <si>
    <t>09:51</t>
  </si>
  <si>
    <t>18:09</t>
  </si>
  <si>
    <t>2026-01-30</t>
  </si>
  <si>
    <t>09:16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</si>
  <si>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</si>
  <si>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</si>
  <si>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</si>
  <si>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</si>
  <si>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</si>
  <si>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</si>
  <si>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</si>
  <si>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</si>
  <si>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17:58</t>
  </si>
  <si>
    <t>08:21</t>
  </si>
  <si>
    <t>2026-02-02</t>
  </si>
  <si>
    <t>08:33</t>
  </si>
  <si>
    <t>17:13</t>
  </si>
  <si>
    <t>12:21</t>
  </si>
  <si>
    <t>09:19</t>
  </si>
  <si>
    <t>09:24</t>
  </si>
  <si>
    <t>17:40</t>
  </si>
  <si>
    <t>18:45</t>
  </si>
  <si>
    <t>17:47</t>
  </si>
  <si>
    <t>11:42</t>
  </si>
  <si>
    <t>10:44</t>
  </si>
  <si>
    <t>17:31</t>
  </si>
  <si>
    <t>08:26</t>
  </si>
  <si>
    <t>17:45</t>
  </si>
  <si>
    <t>09:25</t>
  </si>
  <si>
    <t>09:05</t>
  </si>
  <si>
    <t>08:15</t>
  </si>
  <si>
    <t>17:26</t>
  </si>
  <si>
    <t>2026-02-03</t>
  </si>
  <si>
    <t>18:40</t>
  </si>
  <si>
    <t>09:26</t>
  </si>
  <si>
    <t>09:20</t>
  </si>
  <si>
    <t>17:37</t>
  </si>
  <si>
    <t>18:03</t>
  </si>
  <si>
    <t>09:15</t>
  </si>
  <si>
    <t>17:51</t>
  </si>
  <si>
    <t>11:35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</si>
  <si>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</si>
  <si>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</si>
  <si>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</si>
  <si>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</si>
  <si>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</si>
  <si>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</si>
  <si>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</si>
  <si>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</si>
  <si>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</si>
  <si>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</si>
  <si>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</si>
  <si>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09:09</t>
  </si>
  <si>
    <t>18:47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</si>
  <si>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</si>
  <si>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</si>
  <si>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</si>
  <si>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</si>
  <si>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</si>
  <si>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</si>
  <si>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</si>
  <si>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</si>
  <si>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</si>
  <si>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</si>
  <si>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15:06</t>
  </si>
  <si>
    <t>21:02</t>
  </si>
  <si>
    <t>08:58</t>
  </si>
  <si>
    <t>17:53</t>
  </si>
  <si>
    <t>08:42</t>
  </si>
  <si>
    <t>2026-02-06</t>
  </si>
  <si>
    <t>18:06</t>
  </si>
  <si>
    <t>17:50</t>
  </si>
  <si>
    <t>18:14</t>
  </si>
  <si>
    <t>16:55</t>
  </si>
  <si>
    <t>2026-02-09</t>
  </si>
  <si>
    <t>18:26</t>
  </si>
  <si>
    <t>08:27</t>
  </si>
  <si>
    <t>09:47</t>
  </si>
  <si>
    <t>18:22</t>
  </si>
  <si>
    <t>12:26</t>
  </si>
  <si>
    <t>07:43</t>
  </si>
  <si>
    <t>18:36</t>
  </si>
  <si>
    <t>18:50</t>
  </si>
  <si>
    <t>16:58</t>
  </si>
  <si>
    <t>11:43</t>
  </si>
  <si>
    <t>08:48</t>
  </si>
  <si>
    <t>2026-02-10</t>
  </si>
  <si>
    <t>11:06</t>
  </si>
  <si>
    <t>19:10</t>
  </si>
  <si>
    <t>08:37</t>
  </si>
  <si>
    <t>17:22</t>
  </si>
  <si>
    <t>08:29</t>
  </si>
  <si>
    <t>19:11</t>
  </si>
  <si>
    <t>10:32</t>
  </si>
  <si>
    <t>17:23</t>
  </si>
  <si>
    <t>17:12</t>
  </si>
  <si>
    <t>2026-02-11</t>
  </si>
  <si>
    <t>08:39</t>
  </si>
  <si>
    <t>18:37</t>
  </si>
  <si>
    <t>18:48</t>
  </si>
  <si>
    <t>18:38</t>
  </si>
  <si>
    <t>07:00</t>
  </si>
  <si>
    <t>18:59</t>
  </si>
  <si>
    <t>11:00</t>
  </si>
  <si>
    <t>18:33</t>
  </si>
  <si>
    <t>09:36</t>
  </si>
  <si>
    <t>19:14</t>
  </si>
  <si>
    <t>07:59</t>
  </si>
  <si>
    <t>08:12</t>
  </si>
  <si>
    <t>2026-02-12</t>
  </si>
  <si>
    <t>19:05</t>
  </si>
  <si>
    <t>08:41</t>
  </si>
  <si>
    <t>16:08</t>
  </si>
  <si>
    <t>13:05</t>
  </si>
  <si>
    <t>08:28</t>
  </si>
  <si>
    <t>18:00</t>
  </si>
  <si>
    <t>2026-02-13</t>
  </si>
  <si>
    <t>20:15</t>
  </si>
  <si>
    <t>12:59</t>
  </si>
  <si>
    <t>16:59</t>
  </si>
  <si>
    <t>14:00</t>
  </si>
  <si>
    <t>2026-02-16</t>
  </si>
  <si>
    <t>17:56</t>
  </si>
  <si>
    <t>18:39</t>
  </si>
  <si>
    <t>19:30</t>
  </si>
  <si>
    <t>15:09</t>
  </si>
  <si>
    <t>2026-02-17</t>
  </si>
  <si>
    <t>09:30</t>
  </si>
  <si>
    <t>18:28</t>
  </si>
  <si>
    <t>08:02</t>
  </si>
  <si>
    <t>10:21</t>
  </si>
  <si>
    <t>2026-02-18</t>
  </si>
  <si>
    <t>17:02</t>
  </si>
  <si>
    <t>20:20</t>
  </si>
  <si>
    <t>09:38</t>
  </si>
  <si>
    <t>20:30</t>
  </si>
  <si>
    <t>13:48</t>
  </si>
  <si>
    <t>Leave by Department</t>
  </si>
  <si>
    <t>Department</t>
  </si>
  <si>
    <t>Headcount</t>
  </si>
  <si>
    <t>Time by Department</t>
  </si>
  <si>
    <t>Leave by Country</t>
  </si>
  <si>
    <t>Time by Country</t>
  </si>
  <si>
    <t>Leave by Group</t>
  </si>
  <si>
    <t>Time by Group</t>
  </si>
  <si>
    <t>(January 2026 - February 2026)</t>
  </si>
  <si>
    <t>Annual Leave Entitlement</t>
  </si>
  <si>
    <t>Annual Leave Booked</t>
  </si>
  <si>
    <t>WFH Booked</t>
  </si>
  <si>
    <t>WFH Entitlement</t>
  </si>
  <si>
    <t>(27th Jan 2026 - 18th Feb 2026)</t>
  </si>
  <si>
    <t>Total Variance</t>
  </si>
  <si>
    <t xml:space="preserve">Total Variance </t>
  </si>
  <si>
    <t>Column1</t>
  </si>
  <si>
    <t>Total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</si>
</sst>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81C784"/>
        <bgColor rgb="FF81C784"/>
      </patternFill>
    </fill>
    <fill>
      <patternFill patternType="solid">
        <fgColor rgb="FFC8E6C9"/>
        <bgColor rgb="FFC8E6C9"/>
      </patternFill>
    </fill>
    <fill>
      <patternFill patternType="solid">
        <fgColor rgb="FFC62828"/>
        <bgColor rgb="FFC62828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FAFAFA"/>
        <bgColor rgb="FFFAFAFA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0" borderId="0" xfId="0" applyFont="1"/>
    <xf numFmtId="0" fontId="3" fillId="0" borderId="0" xfId="0" applyFont="1"/>
    <xf numFmtId="0" fontId="1" fillId="11" borderId="0" xfId="1"/>
    <xf numFmtId="0" fontId="4" fillId="12" borderId="0" xfId="2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0" fontId="0" fillId="0" borderId="0" xfId="0" applyNumberFormat="1" applyAlignment="1">
      <alignment horizontal="left"/>
    </xf>
    <xf numFmtId="20" fontId="1" fillId="11" borderId="0" xfId="1" applyNumberFormat="1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36BB6D-1D86-48C8-B465-9B1A50824BD0}" name="Table1" displayName="Table1" ref="A4:N76" totalsRowShown="0">
  <autoFilter ref="A4:N76" xr:uid="{4B36BB6D-1D86-48C8-B465-9B1A50824BD0}"/>
  <tableColumns count="14">
    <tableColumn id="1" xr3:uid="{4F1A11B6-98A5-43A4-B76F-1ADEBBC491D0}" name="Employee"/>
    <tableColumn id="2" xr3:uid="{4FEC5278-ED68-4F01-A408-100EE7CA2898}" name="Team"/>
    <tableColumn id="3" xr3:uid="{33782D00-45E3-4F12-989D-6541DD929D8D}" name="Country"/>
    <tableColumn id="4" xr3:uid="{1E6CA83A-527B-417B-8CAA-AFD8791DA6E6}" name="Group"/>
    <tableColumn id="5" xr3:uid="{7919B312-66BD-4B84-8070-05F7C2508FFA}" name="Annual Leave Entitlement"/>
    <tableColumn id="6" xr3:uid="{E715448F-B5D8-45FD-A3D2-D5C3B9E46FB4}" name="Annual Leave Booked"/>
    <tableColumn id="7" xr3:uid="{AD18F02E-8CF4-44F2-B043-656CC6D686E7}" name="Annual Leave Remaining" dataDxfId="22" totalsRowDxfId="21"/>
    <tableColumn id="8" xr3:uid="{DB56808D-1272-416D-A731-78584EB4C808}" name="WFH Entitlement"/>
    <tableColumn id="9" xr3:uid="{AC7ABBCB-2CA9-4155-95CC-A8F3D4F7133C}" name="WFH Booked"/>
    <tableColumn id="10" xr3:uid="{E09BE079-ED66-4DE0-B2BB-61805A9F1902}" name="WFH Variance" dataDxfId="20" totalsRowDxfId="19"/>
    <tableColumn id="11" xr3:uid="{60B3F92E-199A-492A-89EE-FA70D6B93AA2}" name="Medical/Sick Taken"/>
    <tableColumn id="12" xr3:uid="{01A7FBAD-844E-4DAC-97D3-9049B94DC6A7}" name="External Assignments Taken"/>
    <tableColumn id="13" xr3:uid="{BE6E71AC-7841-4EE2-996D-5E50BF5A51EE}" name="Other Taken"/>
    <tableColumn id="14" xr3:uid="{CADEF37A-A5D7-4F1B-AD2C-13E3191699FA}" name="Total Variation" dataDxfId="6">
      <calculatedColumnFormula>VLOOKUP(A5,Sheet1!A:B,2,FALSE)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37A4E3-EF6E-4F0C-BCEB-F49F8A606C33}" name="Table2" displayName="Table2" ref="A4:K17" totalsRowShown="0">
  <autoFilter ref="A4:K17" xr:uid="{E837A4E3-EF6E-4F0C-BCEB-F49F8A606C33}"/>
  <tableColumns count="11">
    <tableColumn id="1" xr3:uid="{59B52C28-5295-4DA4-A1B8-C380BCBE88DC}" name="Department"/>
    <tableColumn id="2" xr3:uid="{52FBC4CC-E211-4092-9F09-C9E2BA364E84}" name="Headcount"/>
    <tableColumn id="3" xr3:uid="{F1F4435A-15F1-45F7-AA1F-B2B74A8391F0}" name="Annual Leave Entitlement"/>
    <tableColumn id="4" xr3:uid="{C863D3B4-AD60-4879-9213-779E9DA68A59}" name="Annual Leave Booked"/>
    <tableColumn id="5" xr3:uid="{84B1BE6C-93B6-441C-B0CC-137E1457E376}" name="Annual Leave Remaining" dataDxfId="18" totalsRowDxfId="17"/>
    <tableColumn id="6" xr3:uid="{9266CA48-DA73-4D43-BD8A-7B12DEE3E5B4}" name="WFH Entitlement"/>
    <tableColumn id="7" xr3:uid="{0CB69FCF-066B-4597-99A6-97549D48225E}" name="WFH Booked"/>
    <tableColumn id="8" xr3:uid="{56749400-14EE-4EF7-B1FB-B377A1A1C6F7}" name="WFH Variance" dataDxfId="16" totalsRowDxfId="15"/>
    <tableColumn id="9" xr3:uid="{EE942736-160F-41BB-B45F-F0F08321133C}" name="Medical/Sick Taken"/>
    <tableColumn id="10" xr3:uid="{FA2C81C1-16FB-468D-B0DB-49095419576B}" name="External Assignments Taken"/>
    <tableColumn id="11" xr3:uid="{7E2C60EF-667E-44BF-8B6C-F27CD2F85DBD}" name="Other Take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01A5AF-BD06-44FC-9F06-790513B38423}" name="Table3" displayName="Table3" ref="A4:K6" totalsRowShown="0">
  <autoFilter ref="A4:K6" xr:uid="{0201A5AF-BD06-44FC-9F06-790513B38423}"/>
  <tableColumns count="11">
    <tableColumn id="1" xr3:uid="{855A3623-78F7-4DE1-8B21-BB3E662D94AF}" name="Country"/>
    <tableColumn id="2" xr3:uid="{9C4167A8-F382-4AF2-90DD-62C1F0EF96E5}" name="Headcount"/>
    <tableColumn id="3" xr3:uid="{826B9460-8816-48E7-B4D0-D6282693EB26}" name="Annual Leave Entitlement"/>
    <tableColumn id="4" xr3:uid="{792E67D7-C64B-4F53-8713-5794C10D32B3}" name="Annual Leave Booked"/>
    <tableColumn id="5" xr3:uid="{4B4790B7-2D11-470C-A8C8-57AF8DCA893D}" name="Annual Leave Remaining" dataDxfId="14"/>
    <tableColumn id="6" xr3:uid="{DCEB0AB9-E517-4E6C-B405-9729C89E2A05}" name="WFH Entitlement"/>
    <tableColumn id="7" xr3:uid="{FE56CC76-8C4D-4CF7-921E-5C14C02ABCFC}" name="WFH Booked"/>
    <tableColumn id="8" xr3:uid="{14F7CD1C-E629-4879-8524-7B72B4F5796C}" name="WFH Variance" dataDxfId="13"/>
    <tableColumn id="9" xr3:uid="{3827379E-F23F-49B8-BA88-CE0FF58C9074}" name="Medical/Sick Taken"/>
    <tableColumn id="10" xr3:uid="{22C63F0B-03D2-457C-990B-AECF0E8D6083}" name="External Assignments Taken"/>
    <tableColumn id="11" xr3:uid="{7533DECD-9193-4B7E-9EC6-FC336B69F49E}" name="Other Taken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3069D-EF44-479C-A2E3-AA5B056816A2}" name="Table4" displayName="Table4" ref="A4:K7" totalsRowShown="0">
  <autoFilter ref="A4:K7" xr:uid="{75A3069D-EF44-479C-A2E3-AA5B056816A2}"/>
  <tableColumns count="11">
    <tableColumn id="1" xr3:uid="{F517A76B-11CB-4E57-80E5-EDC479B73934}" name="Group"/>
    <tableColumn id="2" xr3:uid="{700338B5-96E9-4356-9AC7-5A5A9E4F70DE}" name="Headcount"/>
    <tableColumn id="3" xr3:uid="{79FC8396-D879-45BD-AC80-8E4D143D4E53}" name="Annual Leave Entitlement"/>
    <tableColumn id="4" xr3:uid="{5691727B-CF14-4926-AA26-753AEACD3C07}" name="Annual Leave Booked"/>
    <tableColumn id="5" xr3:uid="{7338D9F3-3050-4617-B781-66BB9FEA23EC}" name="Annual Leave Remaining" dataCellStyle="Good" totalsRowCellStyle="Good"/>
    <tableColumn id="6" xr3:uid="{CD3E1ABD-1CBB-41BC-A5C7-17BDAC05D240}" name="WFH Entitlement"/>
    <tableColumn id="7" xr3:uid="{D67920FC-8530-4671-A47A-26037FC6CB83}" name="WFH Booked"/>
    <tableColumn id="8" xr3:uid="{0C2F98AB-9337-4E2F-BE33-5488B6BE8A4D}" name="WFH Variance" dataCellStyle="Good" totalsRowCellStyle="Good"/>
    <tableColumn id="9" xr3:uid="{578B3448-5CD7-415D-81FC-B653A7AA99E1}" name="Medical/Sick Taken"/>
    <tableColumn id="10" xr3:uid="{E3022EE2-C2E9-41B7-97C5-83B1DB547835}" name="External Assignments Taken"/>
    <tableColumn id="11" xr3:uid="{BAB78135-C6CA-47A3-BD16-9D642BBC9493}" name="Other Taken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296C84-30C8-4A8E-967D-17F3EF2AF508}" name="Table5" displayName="Table5" ref="A4:D15" totalsRowShown="0">
  <autoFilter ref="A4:D15" xr:uid="{86296C84-30C8-4A8E-967D-17F3EF2AF508}"/>
  <tableColumns count="4">
    <tableColumn id="1" xr3:uid="{B6BDD479-1814-4CDA-AB2E-F931EEAEA137}" name="Department"/>
    <tableColumn id="2" xr3:uid="{8080F894-5312-4A76-AB37-9593D4600835}" name="Headcount"/>
    <tableColumn id="3" xr3:uid="{6962AEA3-8D87-4EA4-8EB6-DBAD1079F75D}" name="Column1" dataDxfId="12"/>
    <tableColumn id="4" xr3:uid="{16240F11-38B6-4415-AD65-81FFF4A88FB3}" name="Total Variance" dataDxfId="11">
      <calculatedColumnFormula>TEXT(C5/24,"[h]:mm")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F31988-0927-47E6-A0DF-8C23C0B1B72C}" name="Table7" displayName="Table7" ref="A4:D5" totalsRowShown="0">
  <autoFilter ref="A4:D5" xr:uid="{FBF31988-0927-47E6-A0DF-8C23C0B1B72C}"/>
  <tableColumns count="4">
    <tableColumn id="1" xr3:uid="{997749A0-894A-4BA2-B0A7-49B1AF46E284}" name="Country"/>
    <tableColumn id="2" xr3:uid="{DCC7D60B-4578-46D8-A420-BCF17F49670D}" name="Headcount"/>
    <tableColumn id="3" xr3:uid="{72897607-57A7-488B-9550-596D2ACDC768}" name="Column1" dataCellStyle="Good"/>
    <tableColumn id="4" xr3:uid="{439DF01C-5953-40DA-8989-6A6860DB0CC0}" name="Total Variance " dataCellStyle="Good">
      <calculatedColumnFormula>TEXT(C5/24,"[h]:mm")</calculatedColumnFormula>
    </tableColumn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0EC10B-603B-4C5B-A250-E1C9FDECF4EF}" name="Table8" displayName="Table8" ref="A4:D7" totalsRowShown="0">
  <autoFilter ref="A4:D7" xr:uid="{040EC10B-603B-4C5B-A250-E1C9FDECF4EF}"/>
  <tableColumns count="4">
    <tableColumn id="1" xr3:uid="{87DAD879-AE20-48B3-B966-742F61C61D99}" name="Group"/>
    <tableColumn id="2" xr3:uid="{76982F18-F212-4380-98EA-38D79022D7A9}" name="Headcount"/>
    <tableColumn id="3" xr3:uid="{756BCDED-C105-44CC-8614-D0328680BE49}" name="Column1" dataCellStyle="Good"/>
    <tableColumn id="4" xr3:uid="{6FBBFAE8-D9D6-4CD3-86E5-4A8FE05E1C9F}" name="Total Variance" dataDxfId="10" dataCellStyle="Good">
      <calculatedColumnFormula>TEXT(C5/24,"[h]:mm")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zoomScale="75" workbookViewId="0">
      <selection activeCell="S19" sqref="S19"/>
    </sheetView>
  </sheetViews>
  <sheetFormatPr defaultRowHeight="15" x14ac:dyDescent="0.25"/>
  <cols>
    <col min="1" max="1" width="44.5703125" bestFit="1" customWidth="1"/>
    <col min="2" max="2" width="19.42578125" bestFit="1" customWidth="1"/>
    <col min="3" max="3" width="10.28515625" bestFit="1" customWidth="1"/>
    <col min="4" max="4" width="8.85546875" bestFit="1" customWidth="1"/>
    <col min="5" max="5" width="26.5703125" bestFit="1" customWidth="1"/>
    <col min="6" max="6" width="22.5703125" bestFit="1" customWidth="1"/>
    <col min="7" max="7" width="25.42578125" bestFit="1" customWidth="1"/>
    <col min="8" max="8" width="18.7109375" bestFit="1" customWidth="1"/>
    <col min="9" max="9" width="14.7109375" bestFit="1" customWidth="1"/>
    <col min="10" max="10" width="15.85546875" bestFit="1" customWidth="1"/>
    <col min="11" max="11" width="20.7109375" bestFit="1" customWidth="1"/>
    <col min="12" max="12" width="28.5703125" bestFit="1" customWidth="1"/>
    <col min="13" max="13" width="14.140625" bestFit="1" customWidth="1"/>
    <col min="14" max="14" width="17.28515625" bestFit="1" customWidth="1"/>
  </cols>
  <sheetData>
    <row r="1" spans="1:14" ht="15.75" x14ac:dyDescent="0.25">
      <c r="A1" s="11" t="s">
        <v>0</v>
      </c>
    </row>
    <row r="2" spans="1:14" ht="15.75" x14ac:dyDescent="0.25">
      <c r="A2" s="11" t="s">
        <v>358</v>
      </c>
    </row>
    <row r="3" spans="1:14" ht="15.75" x14ac:dyDescent="0.25">
      <c r="A3" s="11"/>
    </row>
    <row r="4" spans="1:14" x14ac:dyDescent="0.25">
      <c r="A4" t="s">
        <v>1</v>
      </c>
      <c r="B4" t="s">
        <v>2</v>
      </c>
      <c r="C4" t="s">
        <v>3</v>
      </c>
      <c r="D4" t="s">
        <v>4</v>
      </c>
      <c r="E4" t="s">
        <v>359</v>
      </c>
      <c r="F4" t="s">
        <v>360</v>
      </c>
      <c r="G4" t="s">
        <v>5</v>
      </c>
      <c r="H4" t="s">
        <v>362</v>
      </c>
      <c r="I4" t="s">
        <v>361</v>
      </c>
      <c r="J4" t="s">
        <v>6</v>
      </c>
      <c r="K4" t="s">
        <v>7</v>
      </c>
      <c r="L4" t="s">
        <v>8</v>
      </c>
      <c r="M4" t="s">
        <v>9</v>
      </c>
      <c r="N4" t="s">
        <v>367</v>
      </c>
    </row>
    <row r="5" spans="1:14" x14ac:dyDescent="0.25">
      <c r="A5" t="s">
        <v>10</v>
      </c>
      <c r="B5" t="s">
        <v>11</v>
      </c>
      <c r="C5" t="s">
        <v>12</v>
      </c>
      <c r="D5" t="s">
        <v>13</v>
      </c>
      <c r="E5">
        <v>31</v>
      </c>
      <c r="F5">
        <v>4</v>
      </c>
      <c r="G5" s="1">
        <v>27</v>
      </c>
      <c r="H5">
        <v>9</v>
      </c>
      <c r="I5">
        <v>0</v>
      </c>
      <c r="J5" s="1">
        <v>9</v>
      </c>
      <c r="K5">
        <v>0</v>
      </c>
      <c r="L5">
        <v>0</v>
      </c>
      <c r="M5">
        <v>0</v>
      </c>
    </row>
    <row r="6" spans="1:14" x14ac:dyDescent="0.25">
      <c r="A6" t="s">
        <v>14</v>
      </c>
      <c r="B6" t="s">
        <v>15</v>
      </c>
      <c r="C6" t="s">
        <v>12</v>
      </c>
      <c r="D6" t="s">
        <v>13</v>
      </c>
      <c r="E6">
        <v>18.5</v>
      </c>
      <c r="F6">
        <v>13</v>
      </c>
      <c r="G6" s="1">
        <v>5.5</v>
      </c>
      <c r="H6">
        <v>9</v>
      </c>
      <c r="I6">
        <v>4</v>
      </c>
      <c r="J6" s="2">
        <v>5</v>
      </c>
      <c r="K6">
        <v>0</v>
      </c>
      <c r="L6">
        <v>0</v>
      </c>
      <c r="M6">
        <v>0</v>
      </c>
      <c r="N6">
        <f>VLOOKUP(A6,Sheet1!A:B,2,FALSE)</f>
        <v>2.29</v>
      </c>
    </row>
    <row r="7" spans="1:14" x14ac:dyDescent="0.25">
      <c r="A7" t="s">
        <v>16</v>
      </c>
      <c r="B7" t="s">
        <v>15</v>
      </c>
      <c r="C7" t="s">
        <v>12</v>
      </c>
      <c r="D7" t="s">
        <v>13</v>
      </c>
      <c r="E7">
        <v>18.5</v>
      </c>
      <c r="F7">
        <v>0</v>
      </c>
      <c r="G7" s="1">
        <v>18.5</v>
      </c>
      <c r="H7">
        <v>9</v>
      </c>
      <c r="I7">
        <v>0</v>
      </c>
      <c r="J7" s="1">
        <v>9</v>
      </c>
      <c r="K7">
        <v>0</v>
      </c>
      <c r="L7">
        <v>0</v>
      </c>
      <c r="M7">
        <v>0</v>
      </c>
    </row>
    <row r="8" spans="1:14" x14ac:dyDescent="0.25">
      <c r="A8" t="s">
        <v>17</v>
      </c>
      <c r="B8" t="s">
        <v>11</v>
      </c>
      <c r="C8" t="s">
        <v>12</v>
      </c>
      <c r="D8" t="s">
        <v>13</v>
      </c>
      <c r="E8">
        <v>20</v>
      </c>
      <c r="F8">
        <v>0</v>
      </c>
      <c r="G8" s="1">
        <v>20</v>
      </c>
      <c r="H8">
        <v>9</v>
      </c>
      <c r="I8">
        <v>0</v>
      </c>
      <c r="J8" s="1">
        <v>9</v>
      </c>
      <c r="K8">
        <v>0</v>
      </c>
      <c r="L8">
        <v>0</v>
      </c>
      <c r="M8">
        <v>0</v>
      </c>
      <c r="N8">
        <f>VLOOKUP(A8,Sheet1!A:B,2,FALSE)</f>
        <v>6.9</v>
      </c>
    </row>
    <row r="9" spans="1:14" x14ac:dyDescent="0.25">
      <c r="A9" t="s">
        <v>18</v>
      </c>
      <c r="B9" t="s">
        <v>19</v>
      </c>
      <c r="C9" t="s">
        <v>12</v>
      </c>
      <c r="D9" t="s">
        <v>20</v>
      </c>
      <c r="E9">
        <v>20</v>
      </c>
      <c r="F9">
        <v>5</v>
      </c>
      <c r="G9" s="1">
        <v>15</v>
      </c>
      <c r="H9">
        <v>9</v>
      </c>
      <c r="I9">
        <v>0</v>
      </c>
      <c r="J9" s="1">
        <v>9</v>
      </c>
      <c r="K9">
        <v>0</v>
      </c>
      <c r="L9">
        <v>0</v>
      </c>
      <c r="M9">
        <v>0</v>
      </c>
      <c r="N9">
        <f>VLOOKUP(A9,Sheet1!A:B,2,FALSE)</f>
        <v>-3.54</v>
      </c>
    </row>
    <row r="10" spans="1:14" x14ac:dyDescent="0.25">
      <c r="A10" t="s">
        <v>21</v>
      </c>
      <c r="B10" t="s">
        <v>22</v>
      </c>
      <c r="C10" t="s">
        <v>12</v>
      </c>
      <c r="D10" t="s">
        <v>23</v>
      </c>
      <c r="E10">
        <v>20</v>
      </c>
      <c r="F10">
        <v>0</v>
      </c>
      <c r="G10" s="1">
        <v>20</v>
      </c>
      <c r="H10">
        <v>9</v>
      </c>
      <c r="I10">
        <v>0</v>
      </c>
      <c r="J10" s="1">
        <v>9</v>
      </c>
      <c r="K10">
        <v>0</v>
      </c>
      <c r="L10">
        <v>0</v>
      </c>
      <c r="M10">
        <v>0</v>
      </c>
      <c r="N10">
        <f>VLOOKUP(A10,Sheet1!A:B,2,FALSE)</f>
        <v>17.11</v>
      </c>
    </row>
    <row r="11" spans="1:14" x14ac:dyDescent="0.25">
      <c r="A11" t="s">
        <v>24</v>
      </c>
      <c r="B11" t="s">
        <v>11</v>
      </c>
      <c r="C11" t="s">
        <v>12</v>
      </c>
      <c r="D11" t="s">
        <v>13</v>
      </c>
      <c r="E11">
        <v>27</v>
      </c>
      <c r="F11">
        <v>10</v>
      </c>
      <c r="G11" s="1">
        <v>17</v>
      </c>
      <c r="H11">
        <v>9</v>
      </c>
      <c r="I11">
        <v>3</v>
      </c>
      <c r="J11" s="1">
        <v>6</v>
      </c>
      <c r="K11">
        <v>2</v>
      </c>
      <c r="L11">
        <v>0</v>
      </c>
      <c r="M11">
        <v>0</v>
      </c>
      <c r="N11">
        <f>VLOOKUP(A11,Sheet1!A:B,2,FALSE)</f>
        <v>4.9800000000000004</v>
      </c>
    </row>
    <row r="12" spans="1:14" x14ac:dyDescent="0.25">
      <c r="A12" t="s">
        <v>25</v>
      </c>
      <c r="B12" t="s">
        <v>26</v>
      </c>
      <c r="C12" t="s">
        <v>27</v>
      </c>
      <c r="D12" t="s">
        <v>13</v>
      </c>
      <c r="E12">
        <v>32.5</v>
      </c>
      <c r="F12">
        <v>19.5</v>
      </c>
      <c r="G12" s="1">
        <v>13</v>
      </c>
      <c r="H12">
        <v>9</v>
      </c>
      <c r="I12">
        <v>4</v>
      </c>
      <c r="J12" s="2">
        <v>5</v>
      </c>
      <c r="K12">
        <v>2</v>
      </c>
      <c r="L12">
        <v>2</v>
      </c>
      <c r="M12">
        <v>0</v>
      </c>
    </row>
    <row r="13" spans="1:14" x14ac:dyDescent="0.25">
      <c r="A13" t="s">
        <v>28</v>
      </c>
      <c r="B13" t="s">
        <v>29</v>
      </c>
      <c r="C13" t="s">
        <v>12</v>
      </c>
      <c r="D13" t="s">
        <v>13</v>
      </c>
      <c r="E13">
        <v>20.5</v>
      </c>
      <c r="F13">
        <v>4</v>
      </c>
      <c r="G13" s="1">
        <v>16.5</v>
      </c>
      <c r="H13">
        <v>9</v>
      </c>
      <c r="I13">
        <v>3</v>
      </c>
      <c r="J13" s="1">
        <v>6</v>
      </c>
      <c r="K13">
        <v>0</v>
      </c>
      <c r="L13">
        <v>0</v>
      </c>
      <c r="M13">
        <v>0</v>
      </c>
      <c r="N13">
        <f>VLOOKUP(A13,Sheet1!A:B,2,FALSE)</f>
        <v>3.32</v>
      </c>
    </row>
    <row r="14" spans="1:14" x14ac:dyDescent="0.25">
      <c r="A14" t="s">
        <v>30</v>
      </c>
      <c r="B14" t="s">
        <v>26</v>
      </c>
      <c r="C14" t="s">
        <v>27</v>
      </c>
      <c r="D14" t="s">
        <v>13</v>
      </c>
      <c r="E14">
        <v>28</v>
      </c>
      <c r="F14">
        <v>18</v>
      </c>
      <c r="G14" s="1">
        <v>10</v>
      </c>
      <c r="H14">
        <v>9</v>
      </c>
      <c r="I14">
        <v>8</v>
      </c>
      <c r="J14" s="3">
        <v>1</v>
      </c>
      <c r="K14">
        <v>0</v>
      </c>
      <c r="L14">
        <v>0</v>
      </c>
      <c r="M14">
        <v>0</v>
      </c>
    </row>
    <row r="15" spans="1:14" x14ac:dyDescent="0.25">
      <c r="A15" t="s">
        <v>31</v>
      </c>
      <c r="B15" t="s">
        <v>32</v>
      </c>
      <c r="C15" t="s">
        <v>12</v>
      </c>
      <c r="D15" t="s">
        <v>20</v>
      </c>
      <c r="E15">
        <v>28</v>
      </c>
      <c r="F15">
        <v>2</v>
      </c>
      <c r="G15" s="1">
        <v>26</v>
      </c>
      <c r="H15">
        <v>9</v>
      </c>
      <c r="I15">
        <v>0</v>
      </c>
      <c r="J15" s="1">
        <v>9</v>
      </c>
      <c r="K15">
        <v>0</v>
      </c>
      <c r="L15">
        <v>0</v>
      </c>
      <c r="M15">
        <v>0</v>
      </c>
      <c r="N15">
        <f>VLOOKUP(A15,Sheet1!A:B,2,FALSE)</f>
        <v>-1.48</v>
      </c>
    </row>
    <row r="16" spans="1:14" x14ac:dyDescent="0.25">
      <c r="A16" t="s">
        <v>33</v>
      </c>
      <c r="B16" t="s">
        <v>29</v>
      </c>
      <c r="C16" t="s">
        <v>12</v>
      </c>
      <c r="D16" t="s">
        <v>13</v>
      </c>
      <c r="E16">
        <v>27.5</v>
      </c>
      <c r="F16">
        <v>22</v>
      </c>
      <c r="G16" s="1">
        <v>5.5</v>
      </c>
      <c r="H16">
        <v>9</v>
      </c>
      <c r="I16">
        <v>17</v>
      </c>
      <c r="J16" s="4">
        <v>-8</v>
      </c>
      <c r="K16">
        <v>1</v>
      </c>
      <c r="L16">
        <v>0</v>
      </c>
      <c r="M16">
        <v>0</v>
      </c>
      <c r="N16">
        <f>VLOOKUP(A16,Sheet1!A:B,2,FALSE)</f>
        <v>3.84</v>
      </c>
    </row>
    <row r="17" spans="1:14" x14ac:dyDescent="0.25">
      <c r="A17" t="s">
        <v>34</v>
      </c>
      <c r="B17" t="s">
        <v>15</v>
      </c>
      <c r="C17" t="s">
        <v>12</v>
      </c>
      <c r="D17" t="s">
        <v>13</v>
      </c>
      <c r="E17">
        <v>22.5</v>
      </c>
      <c r="F17">
        <v>5</v>
      </c>
      <c r="G17" s="1">
        <v>17.5</v>
      </c>
      <c r="H17">
        <v>9</v>
      </c>
      <c r="I17">
        <v>2</v>
      </c>
      <c r="J17" s="1">
        <v>7</v>
      </c>
      <c r="K17">
        <v>0</v>
      </c>
      <c r="L17">
        <v>0</v>
      </c>
      <c r="M17">
        <v>0</v>
      </c>
      <c r="N17">
        <f>VLOOKUP(A17,Sheet1!A:B,2,FALSE)</f>
        <v>16.690000000000001</v>
      </c>
    </row>
    <row r="18" spans="1:14" x14ac:dyDescent="0.25">
      <c r="A18" t="s">
        <v>35</v>
      </c>
      <c r="B18" t="s">
        <v>36</v>
      </c>
      <c r="C18" t="s">
        <v>12</v>
      </c>
      <c r="D18" t="s">
        <v>13</v>
      </c>
      <c r="E18">
        <v>30.5</v>
      </c>
      <c r="F18">
        <v>13</v>
      </c>
      <c r="G18" s="1">
        <v>17.5</v>
      </c>
      <c r="H18">
        <v>9</v>
      </c>
      <c r="I18">
        <v>0</v>
      </c>
      <c r="J18" s="1">
        <v>9</v>
      </c>
      <c r="K18">
        <v>0</v>
      </c>
      <c r="L18">
        <v>4</v>
      </c>
      <c r="M18">
        <v>0</v>
      </c>
      <c r="N18">
        <f>VLOOKUP(A18,Sheet1!A:B,2,FALSE)</f>
        <v>12.9</v>
      </c>
    </row>
    <row r="19" spans="1:14" x14ac:dyDescent="0.25">
      <c r="A19" t="s">
        <v>37</v>
      </c>
      <c r="B19" t="s">
        <v>29</v>
      </c>
      <c r="C19" t="s">
        <v>12</v>
      </c>
      <c r="D19" t="s">
        <v>13</v>
      </c>
      <c r="E19">
        <v>25</v>
      </c>
      <c r="F19">
        <v>5</v>
      </c>
      <c r="G19" s="1">
        <v>20</v>
      </c>
      <c r="H19">
        <v>9</v>
      </c>
      <c r="I19">
        <v>6.5</v>
      </c>
      <c r="J19" s="2">
        <v>2.5</v>
      </c>
      <c r="K19">
        <v>0</v>
      </c>
      <c r="L19">
        <v>0</v>
      </c>
      <c r="M19">
        <v>0</v>
      </c>
      <c r="N19">
        <f>VLOOKUP(A19,Sheet1!A:B,2,FALSE)</f>
        <v>7.72</v>
      </c>
    </row>
    <row r="20" spans="1:14" x14ac:dyDescent="0.25">
      <c r="A20" t="s">
        <v>38</v>
      </c>
      <c r="B20" t="s">
        <v>26</v>
      </c>
      <c r="C20" t="s">
        <v>27</v>
      </c>
      <c r="D20" t="s">
        <v>13</v>
      </c>
      <c r="E20">
        <v>14.5</v>
      </c>
      <c r="F20">
        <v>0</v>
      </c>
      <c r="G20" s="1">
        <v>14.5</v>
      </c>
      <c r="H20">
        <v>9</v>
      </c>
      <c r="I20">
        <v>0</v>
      </c>
      <c r="J20" s="1">
        <v>9</v>
      </c>
      <c r="K20">
        <v>0</v>
      </c>
      <c r="L20">
        <v>0</v>
      </c>
      <c r="M20">
        <v>0</v>
      </c>
    </row>
    <row r="21" spans="1:14" x14ac:dyDescent="0.25">
      <c r="A21" t="s">
        <v>39</v>
      </c>
      <c r="B21" t="s">
        <v>29</v>
      </c>
      <c r="C21" t="s">
        <v>12</v>
      </c>
      <c r="D21" t="s">
        <v>13</v>
      </c>
      <c r="E21">
        <v>16</v>
      </c>
      <c r="F21">
        <v>6</v>
      </c>
      <c r="G21" s="1">
        <v>10</v>
      </c>
      <c r="H21">
        <v>9</v>
      </c>
      <c r="I21">
        <v>0</v>
      </c>
      <c r="J21" s="1">
        <v>9</v>
      </c>
      <c r="K21">
        <v>0</v>
      </c>
      <c r="L21">
        <v>0</v>
      </c>
      <c r="M21">
        <v>0</v>
      </c>
    </row>
    <row r="22" spans="1:14" x14ac:dyDescent="0.25">
      <c r="A22" t="s">
        <v>40</v>
      </c>
      <c r="B22" t="s">
        <v>11</v>
      </c>
      <c r="C22" t="s">
        <v>12</v>
      </c>
      <c r="D22" t="s">
        <v>13</v>
      </c>
      <c r="E22">
        <v>22.5</v>
      </c>
      <c r="F22">
        <v>4</v>
      </c>
      <c r="G22" s="1">
        <v>18.5</v>
      </c>
      <c r="H22">
        <v>9</v>
      </c>
      <c r="I22">
        <v>0</v>
      </c>
      <c r="J22" s="1">
        <v>9</v>
      </c>
      <c r="K22">
        <v>0</v>
      </c>
      <c r="L22">
        <v>0</v>
      </c>
      <c r="M22">
        <v>0</v>
      </c>
      <c r="N22">
        <f>VLOOKUP(A22,Sheet1!A:B,2,FALSE)</f>
        <v>9.7799999999999994</v>
      </c>
    </row>
    <row r="23" spans="1:14" x14ac:dyDescent="0.25">
      <c r="A23" t="s">
        <v>41</v>
      </c>
      <c r="B23" t="s">
        <v>26</v>
      </c>
      <c r="C23" t="s">
        <v>27</v>
      </c>
      <c r="D23" t="s">
        <v>13</v>
      </c>
      <c r="E23">
        <v>27</v>
      </c>
      <c r="F23">
        <v>2</v>
      </c>
      <c r="G23" s="1">
        <v>25</v>
      </c>
      <c r="H23">
        <v>9</v>
      </c>
      <c r="I23">
        <v>0</v>
      </c>
      <c r="J23" s="1">
        <v>9</v>
      </c>
      <c r="K23">
        <v>0</v>
      </c>
      <c r="L23">
        <v>0</v>
      </c>
      <c r="M23">
        <v>0</v>
      </c>
    </row>
    <row r="24" spans="1:14" x14ac:dyDescent="0.25">
      <c r="A24" t="s">
        <v>42</v>
      </c>
      <c r="B24" t="s">
        <v>43</v>
      </c>
      <c r="C24" t="s">
        <v>12</v>
      </c>
      <c r="D24" t="s">
        <v>20</v>
      </c>
      <c r="E24">
        <v>24</v>
      </c>
      <c r="F24">
        <v>14.5</v>
      </c>
      <c r="G24" s="1">
        <v>9.5</v>
      </c>
      <c r="H24">
        <v>9</v>
      </c>
      <c r="I24">
        <v>5</v>
      </c>
      <c r="J24" s="2">
        <v>4</v>
      </c>
      <c r="K24">
        <v>0</v>
      </c>
      <c r="L24">
        <v>0</v>
      </c>
      <c r="M24">
        <v>0</v>
      </c>
      <c r="N24">
        <f>VLOOKUP(A24,Sheet1!A:B,2,FALSE)</f>
        <v>5.37</v>
      </c>
    </row>
    <row r="25" spans="1:14" x14ac:dyDescent="0.25">
      <c r="A25" t="s">
        <v>44</v>
      </c>
      <c r="B25" t="s">
        <v>45</v>
      </c>
      <c r="C25" t="s">
        <v>12</v>
      </c>
      <c r="D25" t="s">
        <v>20</v>
      </c>
      <c r="E25">
        <v>23</v>
      </c>
      <c r="F25">
        <v>6</v>
      </c>
      <c r="G25" s="1">
        <v>17</v>
      </c>
      <c r="H25">
        <v>9</v>
      </c>
      <c r="I25">
        <v>0</v>
      </c>
      <c r="J25" s="1">
        <v>9</v>
      </c>
      <c r="K25">
        <v>0</v>
      </c>
      <c r="L25">
        <v>0</v>
      </c>
      <c r="M25">
        <v>0</v>
      </c>
      <c r="N25">
        <f>VLOOKUP(A25,Sheet1!A:B,2,FALSE)</f>
        <v>3.36</v>
      </c>
    </row>
    <row r="26" spans="1:14" x14ac:dyDescent="0.25">
      <c r="A26" t="s">
        <v>46</v>
      </c>
      <c r="B26" t="s">
        <v>22</v>
      </c>
      <c r="C26" t="s">
        <v>12</v>
      </c>
      <c r="D26" t="s">
        <v>23</v>
      </c>
      <c r="E26">
        <v>20</v>
      </c>
      <c r="F26">
        <v>0</v>
      </c>
      <c r="G26" s="1">
        <v>20</v>
      </c>
      <c r="H26">
        <v>9</v>
      </c>
      <c r="I26">
        <v>0</v>
      </c>
      <c r="J26" s="1">
        <v>9</v>
      </c>
      <c r="K26">
        <v>0</v>
      </c>
      <c r="L26">
        <v>0</v>
      </c>
      <c r="M26">
        <v>0</v>
      </c>
      <c r="N26">
        <f>VLOOKUP(A26,Sheet1!A:B,2,FALSE)</f>
        <v>-6.19</v>
      </c>
    </row>
    <row r="27" spans="1:14" x14ac:dyDescent="0.25">
      <c r="A27" t="s">
        <v>47</v>
      </c>
      <c r="B27" t="s">
        <v>22</v>
      </c>
      <c r="C27" t="s">
        <v>12</v>
      </c>
      <c r="D27" t="s">
        <v>23</v>
      </c>
      <c r="E27">
        <v>20</v>
      </c>
      <c r="F27">
        <v>10</v>
      </c>
      <c r="G27" s="1">
        <v>10</v>
      </c>
      <c r="H27">
        <v>9</v>
      </c>
      <c r="I27">
        <v>1</v>
      </c>
      <c r="J27" s="1">
        <v>8</v>
      </c>
      <c r="K27">
        <v>0</v>
      </c>
      <c r="L27">
        <v>0</v>
      </c>
      <c r="M27">
        <v>0</v>
      </c>
      <c r="N27">
        <f>VLOOKUP(A27,Sheet1!A:B,2,FALSE)</f>
        <v>2.57</v>
      </c>
    </row>
    <row r="28" spans="1:14" x14ac:dyDescent="0.25">
      <c r="A28" t="s">
        <v>48</v>
      </c>
      <c r="B28" t="s">
        <v>36</v>
      </c>
      <c r="C28" t="s">
        <v>12</v>
      </c>
      <c r="D28" t="s">
        <v>13</v>
      </c>
      <c r="E28">
        <v>19.5</v>
      </c>
      <c r="F28">
        <v>0</v>
      </c>
      <c r="G28" s="1">
        <v>19.5</v>
      </c>
      <c r="H28">
        <v>9</v>
      </c>
      <c r="I28">
        <v>0</v>
      </c>
      <c r="J28" s="1">
        <v>9</v>
      </c>
      <c r="K28">
        <v>0</v>
      </c>
      <c r="L28">
        <v>0</v>
      </c>
      <c r="M28">
        <v>0</v>
      </c>
      <c r="N28">
        <f>VLOOKUP(A28,Sheet1!A:B,2,FALSE)</f>
        <v>7.18</v>
      </c>
    </row>
    <row r="29" spans="1:14" x14ac:dyDescent="0.25">
      <c r="A29" t="s">
        <v>49</v>
      </c>
      <c r="B29" t="s">
        <v>45</v>
      </c>
      <c r="C29" t="s">
        <v>12</v>
      </c>
      <c r="D29" t="s">
        <v>20</v>
      </c>
      <c r="E29">
        <v>23.5</v>
      </c>
      <c r="F29">
        <v>5</v>
      </c>
      <c r="G29" s="1">
        <v>18.5</v>
      </c>
      <c r="H29">
        <v>9</v>
      </c>
      <c r="I29">
        <v>0</v>
      </c>
      <c r="J29" s="1">
        <v>9</v>
      </c>
      <c r="K29">
        <v>0</v>
      </c>
      <c r="L29">
        <v>0</v>
      </c>
      <c r="M29">
        <v>0</v>
      </c>
      <c r="N29">
        <f>VLOOKUP(A29,Sheet1!A:B,2,FALSE)</f>
        <v>15.39</v>
      </c>
    </row>
    <row r="30" spans="1:14" x14ac:dyDescent="0.25">
      <c r="A30" t="s">
        <v>50</v>
      </c>
      <c r="B30" t="s">
        <v>51</v>
      </c>
      <c r="C30" t="s">
        <v>12</v>
      </c>
      <c r="D30" t="s">
        <v>20</v>
      </c>
      <c r="E30">
        <v>32</v>
      </c>
      <c r="F30">
        <v>9</v>
      </c>
      <c r="G30" s="1">
        <v>23</v>
      </c>
      <c r="H30">
        <v>9</v>
      </c>
      <c r="I30">
        <v>0</v>
      </c>
      <c r="J30" s="1">
        <v>9</v>
      </c>
      <c r="K30">
        <v>0</v>
      </c>
      <c r="L30">
        <v>0</v>
      </c>
      <c r="M30">
        <v>0</v>
      </c>
    </row>
    <row r="31" spans="1:14" x14ac:dyDescent="0.25">
      <c r="A31" t="s">
        <v>52</v>
      </c>
      <c r="B31" t="s">
        <v>15</v>
      </c>
      <c r="C31" t="s">
        <v>12</v>
      </c>
      <c r="D31" t="s">
        <v>13</v>
      </c>
      <c r="E31">
        <v>22</v>
      </c>
      <c r="F31">
        <v>0</v>
      </c>
      <c r="G31" s="1">
        <v>22</v>
      </c>
      <c r="H31">
        <v>9</v>
      </c>
      <c r="I31">
        <v>0</v>
      </c>
      <c r="J31" s="1">
        <v>9</v>
      </c>
      <c r="K31">
        <v>0</v>
      </c>
      <c r="L31">
        <v>0</v>
      </c>
      <c r="M31">
        <v>0</v>
      </c>
    </row>
    <row r="32" spans="1:14" x14ac:dyDescent="0.25">
      <c r="A32" t="s">
        <v>53</v>
      </c>
      <c r="B32" t="s">
        <v>22</v>
      </c>
      <c r="C32" t="s">
        <v>12</v>
      </c>
      <c r="D32" t="s">
        <v>23</v>
      </c>
      <c r="E32">
        <v>25.5</v>
      </c>
      <c r="F32">
        <v>6</v>
      </c>
      <c r="G32" s="1">
        <v>19.5</v>
      </c>
      <c r="H32">
        <v>9</v>
      </c>
      <c r="I32">
        <v>0</v>
      </c>
      <c r="J32" s="1">
        <v>9</v>
      </c>
      <c r="K32">
        <v>0</v>
      </c>
      <c r="L32">
        <v>0</v>
      </c>
      <c r="M32">
        <v>0</v>
      </c>
      <c r="N32">
        <f>VLOOKUP(A32,Sheet1!A:B,2,FALSE)</f>
        <v>38.14</v>
      </c>
    </row>
    <row r="33" spans="1:14" x14ac:dyDescent="0.25">
      <c r="A33" t="s">
        <v>54</v>
      </c>
      <c r="B33" t="s">
        <v>22</v>
      </c>
      <c r="C33" t="s">
        <v>12</v>
      </c>
      <c r="D33" t="s">
        <v>23</v>
      </c>
      <c r="E33">
        <v>20</v>
      </c>
      <c r="F33">
        <v>0</v>
      </c>
      <c r="G33" s="1">
        <v>20</v>
      </c>
      <c r="H33">
        <v>9</v>
      </c>
      <c r="I33">
        <v>0</v>
      </c>
      <c r="J33" s="1">
        <v>9</v>
      </c>
      <c r="K33">
        <v>0</v>
      </c>
      <c r="L33">
        <v>0</v>
      </c>
      <c r="M33">
        <v>0</v>
      </c>
    </row>
    <row r="34" spans="1:14" x14ac:dyDescent="0.25">
      <c r="A34" t="s">
        <v>55</v>
      </c>
      <c r="B34" t="s">
        <v>26</v>
      </c>
      <c r="C34" t="s">
        <v>27</v>
      </c>
      <c r="D34" t="s">
        <v>13</v>
      </c>
      <c r="E34">
        <v>34.5</v>
      </c>
      <c r="F34">
        <v>0</v>
      </c>
      <c r="G34" s="1">
        <v>34.5</v>
      </c>
      <c r="H34">
        <v>9</v>
      </c>
      <c r="I34">
        <v>0</v>
      </c>
      <c r="J34" s="1">
        <v>9</v>
      </c>
      <c r="K34">
        <v>0</v>
      </c>
      <c r="L34">
        <v>0</v>
      </c>
      <c r="M34">
        <v>0</v>
      </c>
    </row>
    <row r="35" spans="1:14" x14ac:dyDescent="0.25">
      <c r="A35" t="s">
        <v>56</v>
      </c>
      <c r="B35" t="s">
        <v>29</v>
      </c>
      <c r="C35" t="s">
        <v>12</v>
      </c>
      <c r="D35" t="s">
        <v>13</v>
      </c>
      <c r="E35">
        <v>24.5</v>
      </c>
      <c r="F35">
        <v>2</v>
      </c>
      <c r="G35" s="1">
        <v>22.5</v>
      </c>
      <c r="H35">
        <v>9</v>
      </c>
      <c r="I35">
        <v>0</v>
      </c>
      <c r="J35" s="1">
        <v>9</v>
      </c>
      <c r="K35">
        <v>0</v>
      </c>
      <c r="L35">
        <v>0</v>
      </c>
      <c r="M35">
        <v>0</v>
      </c>
      <c r="N35">
        <f>VLOOKUP(A35,Sheet1!A:B,2,FALSE)</f>
        <v>6.71</v>
      </c>
    </row>
    <row r="36" spans="1:14" x14ac:dyDescent="0.25">
      <c r="A36" t="s">
        <v>57</v>
      </c>
      <c r="B36" t="s">
        <v>15</v>
      </c>
      <c r="C36" t="s">
        <v>12</v>
      </c>
      <c r="D36" t="s">
        <v>13</v>
      </c>
      <c r="E36">
        <v>26</v>
      </c>
      <c r="F36">
        <v>6.5</v>
      </c>
      <c r="G36" s="1">
        <v>19.5</v>
      </c>
      <c r="H36">
        <v>9</v>
      </c>
      <c r="I36">
        <v>0</v>
      </c>
      <c r="J36" s="1">
        <v>9</v>
      </c>
      <c r="K36">
        <v>1</v>
      </c>
      <c r="L36">
        <v>0</v>
      </c>
      <c r="M36">
        <v>0</v>
      </c>
      <c r="N36">
        <f>VLOOKUP(A36,Sheet1!A:B,2,FALSE)</f>
        <v>11.54</v>
      </c>
    </row>
    <row r="37" spans="1:14" x14ac:dyDescent="0.25">
      <c r="A37" t="s">
        <v>58</v>
      </c>
      <c r="B37" t="s">
        <v>19</v>
      </c>
      <c r="C37" t="s">
        <v>12</v>
      </c>
      <c r="D37" t="s">
        <v>20</v>
      </c>
      <c r="E37">
        <v>29.5</v>
      </c>
      <c r="F37">
        <v>8.5</v>
      </c>
      <c r="G37" s="1">
        <v>21</v>
      </c>
      <c r="H37">
        <v>9</v>
      </c>
      <c r="I37">
        <v>0</v>
      </c>
      <c r="J37" s="1">
        <v>9</v>
      </c>
      <c r="K37">
        <v>0</v>
      </c>
      <c r="L37">
        <v>0</v>
      </c>
      <c r="M37">
        <v>0</v>
      </c>
      <c r="N37">
        <f>VLOOKUP(A37,Sheet1!A:B,2,FALSE)</f>
        <v>-0.56999999999999995</v>
      </c>
    </row>
    <row r="38" spans="1:14" x14ac:dyDescent="0.25">
      <c r="A38" t="s">
        <v>59</v>
      </c>
      <c r="B38" t="s">
        <v>51</v>
      </c>
      <c r="C38" t="s">
        <v>12</v>
      </c>
      <c r="D38" t="s">
        <v>20</v>
      </c>
      <c r="E38">
        <v>20</v>
      </c>
      <c r="F38">
        <v>0</v>
      </c>
      <c r="G38" s="1">
        <v>20</v>
      </c>
      <c r="H38">
        <v>9</v>
      </c>
      <c r="I38">
        <v>0</v>
      </c>
      <c r="J38" s="1">
        <v>9</v>
      </c>
      <c r="K38">
        <v>0</v>
      </c>
      <c r="L38">
        <v>0</v>
      </c>
      <c r="M38">
        <v>0</v>
      </c>
      <c r="N38">
        <f>VLOOKUP(A38,Sheet1!A:B,2,FALSE)</f>
        <v>-4.6900000000000004</v>
      </c>
    </row>
    <row r="39" spans="1:14" x14ac:dyDescent="0.25">
      <c r="A39" t="s">
        <v>60</v>
      </c>
      <c r="B39" t="s">
        <v>36</v>
      </c>
      <c r="C39" t="s">
        <v>12</v>
      </c>
      <c r="D39" t="s">
        <v>13</v>
      </c>
      <c r="E39">
        <v>20</v>
      </c>
      <c r="F39">
        <v>5</v>
      </c>
      <c r="G39" s="1">
        <v>15</v>
      </c>
      <c r="H39">
        <v>9</v>
      </c>
      <c r="I39">
        <v>0</v>
      </c>
      <c r="J39" s="1">
        <v>9</v>
      </c>
      <c r="K39">
        <v>1</v>
      </c>
      <c r="L39">
        <v>0</v>
      </c>
      <c r="M39">
        <v>0</v>
      </c>
      <c r="N39">
        <f>VLOOKUP(A39,Sheet1!A:B,2,FALSE)</f>
        <v>6.22</v>
      </c>
    </row>
    <row r="40" spans="1:14" x14ac:dyDescent="0.25">
      <c r="A40" t="s">
        <v>61</v>
      </c>
      <c r="B40" t="s">
        <v>29</v>
      </c>
      <c r="C40" t="s">
        <v>12</v>
      </c>
      <c r="D40" t="s">
        <v>13</v>
      </c>
      <c r="E40">
        <v>24</v>
      </c>
      <c r="F40">
        <v>5</v>
      </c>
      <c r="G40" s="1">
        <v>19</v>
      </c>
      <c r="H40">
        <v>9</v>
      </c>
      <c r="I40">
        <v>5.5</v>
      </c>
      <c r="J40" s="2">
        <v>3.5</v>
      </c>
      <c r="K40">
        <v>0</v>
      </c>
      <c r="L40">
        <v>0</v>
      </c>
      <c r="M40">
        <v>0</v>
      </c>
      <c r="N40">
        <f>VLOOKUP(A40,Sheet1!A:B,2,FALSE)</f>
        <v>5.69</v>
      </c>
    </row>
    <row r="41" spans="1:14" x14ac:dyDescent="0.25">
      <c r="A41" t="s">
        <v>62</v>
      </c>
      <c r="B41" t="s">
        <v>26</v>
      </c>
      <c r="C41" t="s">
        <v>27</v>
      </c>
      <c r="D41" t="s">
        <v>13</v>
      </c>
      <c r="E41">
        <v>25</v>
      </c>
      <c r="F41">
        <v>5</v>
      </c>
      <c r="G41" s="1">
        <v>20</v>
      </c>
      <c r="H41">
        <v>9</v>
      </c>
      <c r="I41">
        <v>0</v>
      </c>
      <c r="J41" s="1">
        <v>9</v>
      </c>
      <c r="K41">
        <v>0</v>
      </c>
      <c r="L41">
        <v>0</v>
      </c>
      <c r="M41">
        <v>0</v>
      </c>
    </row>
    <row r="42" spans="1:14" x14ac:dyDescent="0.25">
      <c r="A42" t="s">
        <v>63</v>
      </c>
      <c r="B42" t="s">
        <v>15</v>
      </c>
      <c r="C42" t="s">
        <v>12</v>
      </c>
      <c r="D42" t="s">
        <v>13</v>
      </c>
      <c r="E42">
        <v>17.5</v>
      </c>
      <c r="F42">
        <v>0</v>
      </c>
      <c r="G42" s="1">
        <v>17.5</v>
      </c>
      <c r="H42">
        <v>9</v>
      </c>
      <c r="I42">
        <v>0</v>
      </c>
      <c r="J42" s="1">
        <v>9</v>
      </c>
      <c r="K42">
        <v>0</v>
      </c>
      <c r="L42">
        <v>0</v>
      </c>
      <c r="M42">
        <v>0</v>
      </c>
    </row>
    <row r="43" spans="1:14" x14ac:dyDescent="0.25">
      <c r="A43" t="s">
        <v>64</v>
      </c>
      <c r="B43" t="s">
        <v>43</v>
      </c>
      <c r="C43" t="s">
        <v>12</v>
      </c>
      <c r="D43" t="s">
        <v>20</v>
      </c>
      <c r="E43">
        <v>26</v>
      </c>
      <c r="F43">
        <v>9</v>
      </c>
      <c r="G43" s="1">
        <v>17</v>
      </c>
      <c r="H43">
        <v>9</v>
      </c>
      <c r="I43">
        <v>13</v>
      </c>
      <c r="J43" s="5">
        <v>-4</v>
      </c>
      <c r="K43">
        <v>1</v>
      </c>
      <c r="L43">
        <v>2</v>
      </c>
      <c r="M43">
        <v>0</v>
      </c>
      <c r="N43">
        <f>VLOOKUP(A43,Sheet1!A:B,2,FALSE)</f>
        <v>2.3199999999999998</v>
      </c>
    </row>
    <row r="44" spans="1:14" x14ac:dyDescent="0.25">
      <c r="A44" t="s">
        <v>65</v>
      </c>
      <c r="B44" t="s">
        <v>66</v>
      </c>
      <c r="C44" t="s">
        <v>12</v>
      </c>
      <c r="D44" t="s">
        <v>20</v>
      </c>
      <c r="E44">
        <v>22</v>
      </c>
      <c r="F44">
        <v>2</v>
      </c>
      <c r="G44" s="1">
        <v>20</v>
      </c>
      <c r="H44">
        <v>9</v>
      </c>
      <c r="I44">
        <v>0</v>
      </c>
      <c r="J44" s="1">
        <v>9</v>
      </c>
      <c r="K44">
        <v>0</v>
      </c>
      <c r="L44">
        <v>0</v>
      </c>
      <c r="M44">
        <v>0</v>
      </c>
    </row>
    <row r="45" spans="1:14" x14ac:dyDescent="0.25">
      <c r="A45" t="s">
        <v>67</v>
      </c>
      <c r="B45" t="s">
        <v>15</v>
      </c>
      <c r="C45" t="s">
        <v>12</v>
      </c>
      <c r="D45" t="s">
        <v>13</v>
      </c>
      <c r="E45">
        <v>22.5</v>
      </c>
      <c r="F45">
        <v>0</v>
      </c>
      <c r="G45" s="1">
        <v>22.5</v>
      </c>
      <c r="H45">
        <v>9</v>
      </c>
      <c r="I45">
        <v>0</v>
      </c>
      <c r="J45" s="1">
        <v>9</v>
      </c>
      <c r="K45">
        <v>0</v>
      </c>
      <c r="L45">
        <v>0</v>
      </c>
      <c r="M45">
        <v>0</v>
      </c>
      <c r="N45">
        <f>VLOOKUP(A45,Sheet1!A:B,2,FALSE)</f>
        <v>-4.84</v>
      </c>
    </row>
    <row r="46" spans="1:14" x14ac:dyDescent="0.25">
      <c r="A46" t="s">
        <v>68</v>
      </c>
      <c r="B46" t="s">
        <v>51</v>
      </c>
      <c r="C46" t="s">
        <v>12</v>
      </c>
      <c r="D46" t="s">
        <v>20</v>
      </c>
      <c r="E46">
        <v>20.5</v>
      </c>
      <c r="F46">
        <v>0</v>
      </c>
      <c r="G46" s="1">
        <v>20.5</v>
      </c>
      <c r="H46">
        <v>9</v>
      </c>
      <c r="I46">
        <v>0</v>
      </c>
      <c r="J46" s="1">
        <v>9</v>
      </c>
      <c r="K46">
        <v>0</v>
      </c>
      <c r="L46">
        <v>0</v>
      </c>
      <c r="M46">
        <v>0</v>
      </c>
      <c r="N46">
        <f>VLOOKUP(A46,Sheet1!A:B,2,FALSE)</f>
        <v>-2.62</v>
      </c>
    </row>
    <row r="47" spans="1:14" x14ac:dyDescent="0.25">
      <c r="A47" t="s">
        <v>69</v>
      </c>
      <c r="B47" t="s">
        <v>26</v>
      </c>
      <c r="C47" t="s">
        <v>27</v>
      </c>
      <c r="D47" t="s">
        <v>13</v>
      </c>
      <c r="E47">
        <v>50</v>
      </c>
      <c r="F47">
        <v>5</v>
      </c>
      <c r="G47" s="1">
        <v>45</v>
      </c>
      <c r="H47">
        <v>9</v>
      </c>
      <c r="I47">
        <v>0</v>
      </c>
      <c r="J47" s="1">
        <v>9</v>
      </c>
      <c r="K47">
        <v>0</v>
      </c>
      <c r="L47">
        <v>0</v>
      </c>
      <c r="M47">
        <v>0</v>
      </c>
    </row>
    <row r="48" spans="1:14" x14ac:dyDescent="0.25">
      <c r="A48" t="s">
        <v>70</v>
      </c>
      <c r="B48" t="s">
        <v>26</v>
      </c>
      <c r="C48" t="s">
        <v>27</v>
      </c>
      <c r="D48" t="s">
        <v>13</v>
      </c>
      <c r="E48">
        <v>34.5</v>
      </c>
      <c r="F48">
        <v>27.5</v>
      </c>
      <c r="G48" s="1">
        <v>7</v>
      </c>
      <c r="H48">
        <v>9</v>
      </c>
      <c r="I48">
        <v>6</v>
      </c>
      <c r="J48" s="2">
        <v>3</v>
      </c>
      <c r="K48">
        <v>1</v>
      </c>
      <c r="L48">
        <v>1</v>
      </c>
      <c r="M48">
        <v>0</v>
      </c>
    </row>
    <row r="49" spans="1:14" x14ac:dyDescent="0.25">
      <c r="A49" t="s">
        <v>71</v>
      </c>
      <c r="B49" t="s">
        <v>32</v>
      </c>
      <c r="C49" t="s">
        <v>12</v>
      </c>
      <c r="D49" t="s">
        <v>20</v>
      </c>
      <c r="E49">
        <v>24.5</v>
      </c>
      <c r="F49">
        <v>0</v>
      </c>
      <c r="G49" s="1">
        <v>24.5</v>
      </c>
      <c r="H49">
        <v>9</v>
      </c>
      <c r="I49">
        <v>0</v>
      </c>
      <c r="J49" s="1">
        <v>9</v>
      </c>
      <c r="K49">
        <v>0</v>
      </c>
      <c r="L49">
        <v>3</v>
      </c>
      <c r="M49">
        <v>0</v>
      </c>
      <c r="N49">
        <f>VLOOKUP(A49,Sheet1!A:B,2,FALSE)</f>
        <v>2.88</v>
      </c>
    </row>
    <row r="50" spans="1:14" x14ac:dyDescent="0.25">
      <c r="A50" t="s">
        <v>72</v>
      </c>
      <c r="B50" t="s">
        <v>26</v>
      </c>
      <c r="C50" t="s">
        <v>27</v>
      </c>
      <c r="D50" t="s">
        <v>13</v>
      </c>
      <c r="E50">
        <v>43</v>
      </c>
      <c r="F50">
        <v>14</v>
      </c>
      <c r="G50" s="1">
        <v>29</v>
      </c>
      <c r="H50">
        <v>9</v>
      </c>
      <c r="I50">
        <v>0</v>
      </c>
      <c r="J50" s="1">
        <v>9</v>
      </c>
      <c r="K50">
        <v>0</v>
      </c>
      <c r="L50">
        <v>0</v>
      </c>
      <c r="M50">
        <v>0</v>
      </c>
    </row>
    <row r="51" spans="1:14" x14ac:dyDescent="0.25">
      <c r="A51" t="s">
        <v>73</v>
      </c>
      <c r="B51" t="s">
        <v>26</v>
      </c>
      <c r="C51" t="s">
        <v>27</v>
      </c>
      <c r="D51" t="s">
        <v>13</v>
      </c>
      <c r="E51">
        <v>9.5</v>
      </c>
      <c r="F51">
        <v>6</v>
      </c>
      <c r="G51" s="2">
        <v>3.5</v>
      </c>
      <c r="H51">
        <v>9</v>
      </c>
      <c r="I51">
        <v>0</v>
      </c>
      <c r="J51" s="1">
        <v>9</v>
      </c>
      <c r="K51">
        <v>0</v>
      </c>
      <c r="L51">
        <v>0</v>
      </c>
      <c r="M51">
        <v>0</v>
      </c>
    </row>
    <row r="52" spans="1:14" x14ac:dyDescent="0.25">
      <c r="A52" t="s">
        <v>74</v>
      </c>
      <c r="B52" t="s">
        <v>32</v>
      </c>
      <c r="C52" t="s">
        <v>12</v>
      </c>
      <c r="D52" t="s">
        <v>20</v>
      </c>
      <c r="E52">
        <v>20</v>
      </c>
      <c r="F52">
        <v>0</v>
      </c>
      <c r="G52" s="1">
        <v>20</v>
      </c>
      <c r="H52">
        <v>9</v>
      </c>
      <c r="I52">
        <v>0</v>
      </c>
      <c r="J52" s="1">
        <v>9</v>
      </c>
      <c r="K52">
        <v>0</v>
      </c>
      <c r="L52">
        <v>0</v>
      </c>
      <c r="M52">
        <v>0</v>
      </c>
    </row>
    <row r="53" spans="1:14" x14ac:dyDescent="0.25">
      <c r="A53" t="s">
        <v>75</v>
      </c>
      <c r="B53" t="s">
        <v>11</v>
      </c>
      <c r="C53" t="s">
        <v>12</v>
      </c>
      <c r="D53" t="s">
        <v>13</v>
      </c>
      <c r="E53">
        <v>25</v>
      </c>
      <c r="F53">
        <v>5</v>
      </c>
      <c r="G53" s="1">
        <v>20</v>
      </c>
      <c r="H53">
        <v>9</v>
      </c>
      <c r="I53">
        <v>0</v>
      </c>
      <c r="J53" s="1">
        <v>9</v>
      </c>
      <c r="K53">
        <v>0</v>
      </c>
      <c r="L53">
        <v>0</v>
      </c>
      <c r="M53">
        <v>0</v>
      </c>
    </row>
    <row r="54" spans="1:14" x14ac:dyDescent="0.25">
      <c r="A54" t="s">
        <v>76</v>
      </c>
      <c r="B54" t="s">
        <v>11</v>
      </c>
      <c r="C54" t="s">
        <v>12</v>
      </c>
      <c r="D54" t="s">
        <v>13</v>
      </c>
      <c r="E54">
        <v>25</v>
      </c>
      <c r="F54">
        <v>0</v>
      </c>
      <c r="G54" s="1">
        <v>25</v>
      </c>
      <c r="H54">
        <v>9</v>
      </c>
      <c r="I54">
        <v>0</v>
      </c>
      <c r="J54" s="1">
        <v>9</v>
      </c>
      <c r="K54">
        <v>0</v>
      </c>
      <c r="L54">
        <v>0</v>
      </c>
      <c r="M54">
        <v>0</v>
      </c>
    </row>
    <row r="55" spans="1:14" x14ac:dyDescent="0.25">
      <c r="A55" t="s">
        <v>77</v>
      </c>
      <c r="B55" t="s">
        <v>26</v>
      </c>
      <c r="C55" t="s">
        <v>27</v>
      </c>
      <c r="D55" t="s">
        <v>13</v>
      </c>
      <c r="E55">
        <v>23.5</v>
      </c>
      <c r="F55">
        <v>0</v>
      </c>
      <c r="G55" s="1">
        <v>23.5</v>
      </c>
      <c r="H55">
        <v>9</v>
      </c>
      <c r="I55">
        <v>0</v>
      </c>
      <c r="J55" s="1">
        <v>9</v>
      </c>
      <c r="K55">
        <v>0</v>
      </c>
      <c r="L55">
        <v>0</v>
      </c>
      <c r="M55">
        <v>0</v>
      </c>
    </row>
    <row r="56" spans="1:14" x14ac:dyDescent="0.25">
      <c r="A56" t="s">
        <v>78</v>
      </c>
      <c r="B56" t="s">
        <v>43</v>
      </c>
      <c r="C56" t="s">
        <v>12</v>
      </c>
      <c r="D56" t="s">
        <v>20</v>
      </c>
      <c r="E56">
        <v>25.5</v>
      </c>
      <c r="F56">
        <v>3</v>
      </c>
      <c r="G56" s="1">
        <v>22.5</v>
      </c>
      <c r="H56">
        <v>9</v>
      </c>
      <c r="I56">
        <v>9</v>
      </c>
      <c r="J56" s="12">
        <v>0</v>
      </c>
      <c r="K56">
        <v>0</v>
      </c>
      <c r="L56">
        <v>0</v>
      </c>
      <c r="M56">
        <v>0</v>
      </c>
      <c r="N56">
        <f>VLOOKUP(A56,Sheet1!A:B,2,FALSE)</f>
        <v>12.73</v>
      </c>
    </row>
    <row r="57" spans="1:14" x14ac:dyDescent="0.25">
      <c r="A57" t="s">
        <v>79</v>
      </c>
      <c r="B57" t="s">
        <v>66</v>
      </c>
      <c r="C57" t="s">
        <v>12</v>
      </c>
      <c r="D57" t="s">
        <v>20</v>
      </c>
      <c r="E57">
        <v>20</v>
      </c>
      <c r="F57">
        <v>0</v>
      </c>
      <c r="G57" s="1">
        <v>20</v>
      </c>
      <c r="H57">
        <v>9</v>
      </c>
      <c r="I57">
        <v>0</v>
      </c>
      <c r="J57" s="1">
        <v>9</v>
      </c>
      <c r="K57">
        <v>0</v>
      </c>
      <c r="L57">
        <v>0</v>
      </c>
      <c r="M57">
        <v>0</v>
      </c>
    </row>
    <row r="58" spans="1:14" x14ac:dyDescent="0.25">
      <c r="A58" t="s">
        <v>80</v>
      </c>
      <c r="B58" t="s">
        <v>22</v>
      </c>
      <c r="C58" t="s">
        <v>12</v>
      </c>
      <c r="D58" t="s">
        <v>23</v>
      </c>
      <c r="E58">
        <v>20</v>
      </c>
      <c r="F58">
        <v>0</v>
      </c>
      <c r="G58" s="1">
        <v>20</v>
      </c>
      <c r="H58">
        <v>9</v>
      </c>
      <c r="I58">
        <v>0</v>
      </c>
      <c r="J58" s="1">
        <v>9</v>
      </c>
      <c r="K58">
        <v>0</v>
      </c>
      <c r="L58">
        <v>0</v>
      </c>
      <c r="M58">
        <v>0</v>
      </c>
    </row>
    <row r="59" spans="1:14" x14ac:dyDescent="0.25">
      <c r="A59" t="s">
        <v>81</v>
      </c>
      <c r="B59" t="s">
        <v>43</v>
      </c>
      <c r="C59" t="s">
        <v>12</v>
      </c>
      <c r="D59" t="s">
        <v>20</v>
      </c>
      <c r="E59">
        <v>20</v>
      </c>
      <c r="F59">
        <v>4.5</v>
      </c>
      <c r="G59" s="1">
        <v>15.5</v>
      </c>
      <c r="H59">
        <v>9</v>
      </c>
      <c r="I59">
        <v>8</v>
      </c>
      <c r="J59" s="3">
        <v>1</v>
      </c>
      <c r="K59">
        <v>1</v>
      </c>
      <c r="L59">
        <v>0</v>
      </c>
      <c r="M59">
        <v>0</v>
      </c>
      <c r="N59">
        <f>VLOOKUP(A59,Sheet1!A:B,2,FALSE)</f>
        <v>4.54</v>
      </c>
    </row>
    <row r="60" spans="1:14" x14ac:dyDescent="0.25">
      <c r="A60" t="s">
        <v>82</v>
      </c>
      <c r="B60" t="s">
        <v>29</v>
      </c>
      <c r="C60" t="s">
        <v>12</v>
      </c>
      <c r="D60" t="s">
        <v>13</v>
      </c>
      <c r="E60">
        <v>22</v>
      </c>
      <c r="F60">
        <v>11</v>
      </c>
      <c r="G60" s="1">
        <v>11</v>
      </c>
      <c r="H60">
        <v>9</v>
      </c>
      <c r="I60">
        <v>0</v>
      </c>
      <c r="J60" s="1">
        <v>9</v>
      </c>
      <c r="K60">
        <v>0</v>
      </c>
      <c r="L60">
        <v>5</v>
      </c>
      <c r="M60">
        <v>0</v>
      </c>
      <c r="N60">
        <f>VLOOKUP(A60,Sheet1!A:B,2,FALSE)</f>
        <v>2.0299999999999998</v>
      </c>
    </row>
    <row r="61" spans="1:14" x14ac:dyDescent="0.25">
      <c r="A61" t="s">
        <v>83</v>
      </c>
      <c r="B61" t="s">
        <v>45</v>
      </c>
      <c r="C61" t="s">
        <v>12</v>
      </c>
      <c r="D61" t="s">
        <v>20</v>
      </c>
      <c r="E61">
        <v>24.5</v>
      </c>
      <c r="F61">
        <v>0</v>
      </c>
      <c r="G61" s="1">
        <v>24.5</v>
      </c>
      <c r="H61">
        <v>9</v>
      </c>
      <c r="I61">
        <v>0</v>
      </c>
      <c r="J61" s="1">
        <v>9</v>
      </c>
      <c r="K61">
        <v>0</v>
      </c>
      <c r="L61">
        <v>0</v>
      </c>
      <c r="M61">
        <v>0</v>
      </c>
      <c r="N61">
        <f>VLOOKUP(A61,Sheet1!A:B,2,FALSE)</f>
        <v>3.49</v>
      </c>
    </row>
    <row r="62" spans="1:14" x14ac:dyDescent="0.25">
      <c r="A62" t="s">
        <v>84</v>
      </c>
      <c r="B62" t="s">
        <v>43</v>
      </c>
      <c r="C62" t="s">
        <v>12</v>
      </c>
      <c r="D62" t="s">
        <v>20</v>
      </c>
      <c r="E62">
        <v>24.5</v>
      </c>
      <c r="F62">
        <v>5</v>
      </c>
      <c r="G62" s="1">
        <v>19.5</v>
      </c>
      <c r="H62">
        <v>9</v>
      </c>
      <c r="I62">
        <v>8</v>
      </c>
      <c r="J62" s="3">
        <v>1</v>
      </c>
      <c r="K62">
        <v>0</v>
      </c>
      <c r="L62">
        <v>0</v>
      </c>
      <c r="M62">
        <v>0</v>
      </c>
      <c r="N62">
        <f>VLOOKUP(A62,Sheet1!A:B,2,FALSE)</f>
        <v>6.71</v>
      </c>
    </row>
    <row r="63" spans="1:14" x14ac:dyDescent="0.25">
      <c r="A63" t="s">
        <v>85</v>
      </c>
      <c r="B63" t="s">
        <v>36</v>
      </c>
      <c r="C63" t="s">
        <v>12</v>
      </c>
      <c r="D63" t="s">
        <v>13</v>
      </c>
      <c r="E63">
        <v>24</v>
      </c>
      <c r="F63">
        <v>9.5</v>
      </c>
      <c r="G63" s="1">
        <v>14.5</v>
      </c>
      <c r="H63">
        <v>9</v>
      </c>
      <c r="I63">
        <v>3</v>
      </c>
      <c r="J63" s="1">
        <v>6</v>
      </c>
      <c r="K63">
        <v>0</v>
      </c>
      <c r="L63">
        <v>0</v>
      </c>
      <c r="M63">
        <v>0</v>
      </c>
      <c r="N63">
        <f>VLOOKUP(A63,Sheet1!A:B,2,FALSE)</f>
        <v>7.37</v>
      </c>
    </row>
    <row r="64" spans="1:14" x14ac:dyDescent="0.25">
      <c r="A64" t="s">
        <v>86</v>
      </c>
      <c r="B64" t="s">
        <v>45</v>
      </c>
      <c r="C64" t="s">
        <v>12</v>
      </c>
      <c r="D64" t="s">
        <v>20</v>
      </c>
      <c r="E64">
        <v>20</v>
      </c>
      <c r="F64">
        <v>0</v>
      </c>
      <c r="G64" s="1">
        <v>20</v>
      </c>
      <c r="H64">
        <v>9</v>
      </c>
      <c r="I64">
        <v>0</v>
      </c>
      <c r="J64" s="1">
        <v>9</v>
      </c>
      <c r="K64">
        <v>0</v>
      </c>
      <c r="L64">
        <v>0</v>
      </c>
      <c r="M64">
        <v>0</v>
      </c>
    </row>
    <row r="65" spans="1:14" x14ac:dyDescent="0.25">
      <c r="A65" t="s">
        <v>87</v>
      </c>
      <c r="B65" t="s">
        <v>26</v>
      </c>
      <c r="C65" t="s">
        <v>27</v>
      </c>
      <c r="D65" t="s">
        <v>13</v>
      </c>
      <c r="E65">
        <v>32.5</v>
      </c>
      <c r="F65">
        <v>6</v>
      </c>
      <c r="G65" s="1">
        <v>26.5</v>
      </c>
      <c r="H65">
        <v>9</v>
      </c>
      <c r="I65">
        <v>2.5</v>
      </c>
      <c r="J65" s="1">
        <v>6.5</v>
      </c>
      <c r="K65">
        <v>0</v>
      </c>
      <c r="L65">
        <v>0</v>
      </c>
      <c r="M65">
        <v>0</v>
      </c>
    </row>
    <row r="66" spans="1:14" x14ac:dyDescent="0.25">
      <c r="A66" t="s">
        <v>88</v>
      </c>
      <c r="B66" t="s">
        <v>89</v>
      </c>
      <c r="C66" t="s">
        <v>12</v>
      </c>
      <c r="D66" t="s">
        <v>13</v>
      </c>
      <c r="E66">
        <v>20.5</v>
      </c>
      <c r="F66">
        <v>0</v>
      </c>
      <c r="G66" s="1">
        <v>20.5</v>
      </c>
      <c r="H66">
        <v>9</v>
      </c>
      <c r="I66">
        <v>0</v>
      </c>
      <c r="J66" s="1">
        <v>9</v>
      </c>
      <c r="K66">
        <v>0</v>
      </c>
      <c r="L66">
        <v>0</v>
      </c>
      <c r="M66">
        <v>0</v>
      </c>
    </row>
    <row r="67" spans="1:14" x14ac:dyDescent="0.25">
      <c r="A67" t="s">
        <v>90</v>
      </c>
      <c r="B67" t="s">
        <v>89</v>
      </c>
      <c r="C67" t="s">
        <v>12</v>
      </c>
      <c r="D67" t="s">
        <v>13</v>
      </c>
      <c r="E67">
        <v>20.5</v>
      </c>
      <c r="F67">
        <v>8</v>
      </c>
      <c r="G67" s="1">
        <v>12.5</v>
      </c>
      <c r="H67">
        <v>9</v>
      </c>
      <c r="I67">
        <v>5</v>
      </c>
      <c r="J67" s="2">
        <v>4</v>
      </c>
      <c r="K67">
        <v>0</v>
      </c>
      <c r="L67">
        <v>3</v>
      </c>
      <c r="M67">
        <v>0</v>
      </c>
      <c r="N67">
        <f>VLOOKUP(A67,Sheet1!A:B,2,FALSE)</f>
        <v>5.54</v>
      </c>
    </row>
    <row r="68" spans="1:14" x14ac:dyDescent="0.25">
      <c r="A68" t="s">
        <v>91</v>
      </c>
      <c r="B68" t="s">
        <v>22</v>
      </c>
      <c r="C68" t="s">
        <v>12</v>
      </c>
      <c r="D68" t="s">
        <v>23</v>
      </c>
      <c r="E68">
        <v>18.5</v>
      </c>
      <c r="F68">
        <v>0</v>
      </c>
      <c r="G68" s="1">
        <v>18.5</v>
      </c>
      <c r="H68">
        <v>9</v>
      </c>
      <c r="I68">
        <v>0</v>
      </c>
      <c r="J68" s="1">
        <v>9</v>
      </c>
      <c r="K68">
        <v>0</v>
      </c>
      <c r="L68">
        <v>0</v>
      </c>
      <c r="M68">
        <v>0</v>
      </c>
    </row>
    <row r="69" spans="1:14" x14ac:dyDescent="0.25">
      <c r="A69" t="s">
        <v>92</v>
      </c>
      <c r="B69" t="s">
        <v>32</v>
      </c>
      <c r="C69" t="s">
        <v>12</v>
      </c>
      <c r="D69" t="s">
        <v>20</v>
      </c>
      <c r="E69">
        <v>26</v>
      </c>
      <c r="F69">
        <v>0</v>
      </c>
      <c r="G69" s="1">
        <v>26</v>
      </c>
      <c r="H69">
        <v>9</v>
      </c>
      <c r="I69">
        <v>0</v>
      </c>
      <c r="J69" s="1">
        <v>9</v>
      </c>
      <c r="K69">
        <v>0</v>
      </c>
      <c r="L69">
        <v>0</v>
      </c>
      <c r="M69">
        <v>0</v>
      </c>
      <c r="N69">
        <f>VLOOKUP(A69,Sheet1!A:B,2,FALSE)</f>
        <v>-0.09</v>
      </c>
    </row>
    <row r="70" spans="1:14" x14ac:dyDescent="0.25">
      <c r="A70" t="s">
        <v>93</v>
      </c>
      <c r="B70" t="s">
        <v>29</v>
      </c>
      <c r="C70" t="s">
        <v>12</v>
      </c>
      <c r="D70" t="s">
        <v>13</v>
      </c>
      <c r="E70">
        <v>22.5</v>
      </c>
      <c r="F70">
        <v>0</v>
      </c>
      <c r="G70" s="1">
        <v>22.5</v>
      </c>
      <c r="H70">
        <v>9</v>
      </c>
      <c r="I70">
        <v>0</v>
      </c>
      <c r="J70" s="1">
        <v>9</v>
      </c>
      <c r="K70">
        <v>0</v>
      </c>
      <c r="L70">
        <v>0</v>
      </c>
      <c r="M70">
        <v>0</v>
      </c>
    </row>
    <row r="71" spans="1:14" x14ac:dyDescent="0.25">
      <c r="A71" t="s">
        <v>94</v>
      </c>
      <c r="B71" t="s">
        <v>29</v>
      </c>
      <c r="C71" t="s">
        <v>12</v>
      </c>
      <c r="D71" t="s">
        <v>13</v>
      </c>
      <c r="E71">
        <v>22.5</v>
      </c>
      <c r="F71">
        <v>9</v>
      </c>
      <c r="G71" s="1">
        <v>13.5</v>
      </c>
      <c r="H71">
        <v>9</v>
      </c>
      <c r="I71">
        <v>7.5</v>
      </c>
      <c r="J71" s="3">
        <v>1.5</v>
      </c>
      <c r="K71">
        <v>2</v>
      </c>
      <c r="L71">
        <v>0</v>
      </c>
      <c r="M71">
        <v>0</v>
      </c>
      <c r="N71">
        <f>VLOOKUP(A71,Sheet1!A:B,2,FALSE)</f>
        <v>-1.88</v>
      </c>
    </row>
    <row r="72" spans="1:14" x14ac:dyDescent="0.25">
      <c r="A72" t="s">
        <v>95</v>
      </c>
      <c r="B72" t="s">
        <v>29</v>
      </c>
      <c r="C72" t="s">
        <v>12</v>
      </c>
      <c r="D72" t="s">
        <v>13</v>
      </c>
      <c r="E72">
        <v>19.5</v>
      </c>
      <c r="F72">
        <v>0</v>
      </c>
      <c r="G72" s="1">
        <v>19.5</v>
      </c>
      <c r="H72">
        <v>9</v>
      </c>
      <c r="I72">
        <v>0</v>
      </c>
      <c r="J72" s="1">
        <v>9</v>
      </c>
      <c r="K72">
        <v>0</v>
      </c>
      <c r="L72">
        <v>0</v>
      </c>
      <c r="M72">
        <v>0</v>
      </c>
      <c r="N72">
        <f>VLOOKUP(A72,Sheet1!A:B,2,FALSE)</f>
        <v>7.6</v>
      </c>
    </row>
    <row r="73" spans="1:14" x14ac:dyDescent="0.25">
      <c r="A73" t="s">
        <v>96</v>
      </c>
      <c r="B73" t="s">
        <v>43</v>
      </c>
      <c r="C73" t="s">
        <v>12</v>
      </c>
      <c r="D73" t="s">
        <v>20</v>
      </c>
      <c r="E73">
        <v>23.5</v>
      </c>
      <c r="F73">
        <v>3.5</v>
      </c>
      <c r="G73" s="1">
        <v>20</v>
      </c>
      <c r="H73">
        <v>9</v>
      </c>
      <c r="I73">
        <v>3.5</v>
      </c>
      <c r="J73" s="1">
        <v>5.5</v>
      </c>
      <c r="K73">
        <v>2.5</v>
      </c>
      <c r="L73">
        <v>1</v>
      </c>
      <c r="M73">
        <v>0</v>
      </c>
      <c r="N73">
        <f>VLOOKUP(A73,Sheet1!A:B,2,FALSE)</f>
        <v>4.04</v>
      </c>
    </row>
    <row r="74" spans="1:14" x14ac:dyDescent="0.25">
      <c r="A74" t="s">
        <v>97</v>
      </c>
      <c r="B74" t="s">
        <v>26</v>
      </c>
      <c r="C74" t="s">
        <v>27</v>
      </c>
      <c r="D74" t="s">
        <v>13</v>
      </c>
      <c r="E74">
        <v>29.5</v>
      </c>
      <c r="F74">
        <v>12</v>
      </c>
      <c r="G74" s="1">
        <v>17.5</v>
      </c>
      <c r="H74">
        <v>9</v>
      </c>
      <c r="I74">
        <v>10</v>
      </c>
      <c r="J74" s="6">
        <v>-1</v>
      </c>
      <c r="K74">
        <v>26</v>
      </c>
      <c r="L74">
        <v>0</v>
      </c>
      <c r="M74">
        <v>0</v>
      </c>
    </row>
    <row r="75" spans="1:14" x14ac:dyDescent="0.25">
      <c r="A75" t="s">
        <v>98</v>
      </c>
      <c r="B75" t="s">
        <v>22</v>
      </c>
      <c r="C75" t="s">
        <v>12</v>
      </c>
      <c r="D75" t="s">
        <v>23</v>
      </c>
      <c r="E75">
        <v>20</v>
      </c>
      <c r="F75">
        <v>5</v>
      </c>
      <c r="G75" s="1">
        <v>15</v>
      </c>
      <c r="H75">
        <v>9</v>
      </c>
      <c r="I75">
        <v>0</v>
      </c>
      <c r="J75" s="1">
        <v>9</v>
      </c>
      <c r="K75">
        <v>0</v>
      </c>
      <c r="L75">
        <v>0</v>
      </c>
      <c r="M75">
        <v>0</v>
      </c>
    </row>
    <row r="76" spans="1:14" x14ac:dyDescent="0.25">
      <c r="A76" t="s">
        <v>99</v>
      </c>
      <c r="B76" t="s">
        <v>22</v>
      </c>
      <c r="C76" t="s">
        <v>12</v>
      </c>
      <c r="D76" t="s">
        <v>23</v>
      </c>
      <c r="E76">
        <v>23.5</v>
      </c>
      <c r="F76">
        <v>0</v>
      </c>
      <c r="G76" s="1">
        <v>23.5</v>
      </c>
      <c r="H76">
        <v>9</v>
      </c>
      <c r="I76">
        <v>0</v>
      </c>
      <c r="J76" s="1">
        <v>9</v>
      </c>
      <c r="K76">
        <v>2</v>
      </c>
      <c r="L76">
        <v>0</v>
      </c>
      <c r="M76">
        <v>0</v>
      </c>
      <c r="N76">
        <f>VLOOKUP(A76,Sheet1!A:B,2,FALSE)</f>
        <v>16.59</v>
      </c>
    </row>
  </sheetData>
  <conditionalFormatting sqref="G5:G76 J5:J76">
    <cfRule type="cellIs" dxfId="4" priority="4" operator="greaterThan">
      <formula>0</formula>
    </cfRule>
  </conditionalFormatting>
  <conditionalFormatting sqref="N5:N76">
    <cfRule type="cellIs" dxfId="0" priority="2" operator="greaterThan">
      <formula>0</formula>
    </cfRule>
    <cfRule type="cellIs" dxfId="1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selection activeCell="E28" sqref="E28"/>
    </sheetView>
  </sheetViews>
  <sheetFormatPr defaultRowHeight="15" x14ac:dyDescent="0.25"/>
  <cols>
    <col min="1" max="1" width="19.42578125" bestFit="1" customWidth="1"/>
    <col min="2" max="2" width="12.85546875" bestFit="1" customWidth="1"/>
    <col min="3" max="3" width="26.5703125" bestFit="1" customWidth="1"/>
    <col min="4" max="4" width="22.5703125" bestFit="1" customWidth="1"/>
    <col min="5" max="5" width="25.42578125" bestFit="1" customWidth="1"/>
    <col min="6" max="6" width="18.7109375" bestFit="1" customWidth="1"/>
    <col min="7" max="7" width="14.7109375" bestFit="1" customWidth="1"/>
    <col min="8" max="8" width="15.85546875" bestFit="1" customWidth="1"/>
    <col min="9" max="9" width="20.7109375" bestFit="1" customWidth="1"/>
    <col min="10" max="10" width="28.5703125" bestFit="1" customWidth="1"/>
    <col min="11" max="11" width="14.140625" bestFit="1" customWidth="1"/>
  </cols>
  <sheetData>
    <row r="1" spans="1:11" ht="15.75" x14ac:dyDescent="0.25">
      <c r="A1" s="11" t="s">
        <v>350</v>
      </c>
    </row>
    <row r="2" spans="1:11" ht="15.75" x14ac:dyDescent="0.25">
      <c r="A2" s="11" t="s">
        <v>358</v>
      </c>
    </row>
    <row r="3" spans="1:11" ht="15.75" x14ac:dyDescent="0.25">
      <c r="A3" s="11"/>
    </row>
    <row r="4" spans="1:11" x14ac:dyDescent="0.25">
      <c r="A4" t="s">
        <v>351</v>
      </c>
      <c r="B4" t="s">
        <v>352</v>
      </c>
      <c r="C4" t="s">
        <v>359</v>
      </c>
      <c r="D4" t="s">
        <v>360</v>
      </c>
      <c r="E4" t="s">
        <v>5</v>
      </c>
      <c r="F4" t="s">
        <v>362</v>
      </c>
      <c r="G4" t="s">
        <v>361</v>
      </c>
      <c r="H4" t="s">
        <v>6</v>
      </c>
      <c r="I4" t="s">
        <v>7</v>
      </c>
      <c r="J4" t="s">
        <v>8</v>
      </c>
      <c r="K4" t="s">
        <v>9</v>
      </c>
    </row>
    <row r="5" spans="1:11" x14ac:dyDescent="0.25">
      <c r="A5" t="s">
        <v>22</v>
      </c>
      <c r="B5">
        <v>9</v>
      </c>
      <c r="C5">
        <v>187.5</v>
      </c>
      <c r="D5">
        <v>21</v>
      </c>
      <c r="E5" s="1">
        <v>166.5</v>
      </c>
      <c r="F5">
        <v>81</v>
      </c>
      <c r="G5">
        <v>1</v>
      </c>
      <c r="H5" s="1">
        <v>80</v>
      </c>
      <c r="I5">
        <v>2</v>
      </c>
      <c r="J5">
        <v>0</v>
      </c>
      <c r="K5">
        <v>0</v>
      </c>
    </row>
    <row r="6" spans="1:11" x14ac:dyDescent="0.25">
      <c r="A6" t="s">
        <v>26</v>
      </c>
      <c r="B6">
        <v>13</v>
      </c>
      <c r="C6">
        <v>384</v>
      </c>
      <c r="D6">
        <v>115</v>
      </c>
      <c r="E6" s="1">
        <v>269</v>
      </c>
      <c r="F6">
        <v>117</v>
      </c>
      <c r="G6">
        <v>30.5</v>
      </c>
      <c r="H6" s="1">
        <v>86.5</v>
      </c>
      <c r="I6">
        <v>29</v>
      </c>
      <c r="J6">
        <v>3</v>
      </c>
      <c r="K6">
        <v>0</v>
      </c>
    </row>
    <row r="7" spans="1:11" x14ac:dyDescent="0.25">
      <c r="A7" t="s">
        <v>11</v>
      </c>
      <c r="B7">
        <v>6</v>
      </c>
      <c r="C7">
        <v>150.5</v>
      </c>
      <c r="D7">
        <v>23</v>
      </c>
      <c r="E7" s="1">
        <v>127.5</v>
      </c>
      <c r="F7">
        <v>54</v>
      </c>
      <c r="G7">
        <v>3</v>
      </c>
      <c r="H7" s="1">
        <v>51</v>
      </c>
      <c r="I7">
        <v>2</v>
      </c>
      <c r="J7">
        <v>0</v>
      </c>
      <c r="K7">
        <v>0</v>
      </c>
    </row>
    <row r="8" spans="1:11" x14ac:dyDescent="0.25">
      <c r="A8" t="s">
        <v>43</v>
      </c>
      <c r="B8">
        <v>6</v>
      </c>
      <c r="C8">
        <v>143.5</v>
      </c>
      <c r="D8">
        <v>39.5</v>
      </c>
      <c r="E8" s="1">
        <v>104</v>
      </c>
      <c r="F8">
        <v>54</v>
      </c>
      <c r="G8">
        <v>49.5</v>
      </c>
      <c r="H8" s="2">
        <v>4.5</v>
      </c>
      <c r="I8">
        <v>4.5</v>
      </c>
      <c r="J8">
        <v>3</v>
      </c>
      <c r="K8">
        <v>0</v>
      </c>
    </row>
    <row r="9" spans="1:11" x14ac:dyDescent="0.25">
      <c r="A9" t="s">
        <v>32</v>
      </c>
      <c r="B9">
        <v>4</v>
      </c>
      <c r="C9">
        <v>98.5</v>
      </c>
      <c r="D9">
        <v>2</v>
      </c>
      <c r="E9" s="1">
        <v>96.5</v>
      </c>
      <c r="F9">
        <v>36</v>
      </c>
      <c r="G9">
        <v>0</v>
      </c>
      <c r="H9" s="1">
        <v>36</v>
      </c>
      <c r="I9">
        <v>0</v>
      </c>
      <c r="J9">
        <v>3</v>
      </c>
      <c r="K9">
        <v>0</v>
      </c>
    </row>
    <row r="10" spans="1:11" x14ac:dyDescent="0.25">
      <c r="A10" t="s">
        <v>45</v>
      </c>
      <c r="B10">
        <v>4</v>
      </c>
      <c r="C10">
        <v>91</v>
      </c>
      <c r="D10">
        <v>11</v>
      </c>
      <c r="E10" s="1">
        <v>80</v>
      </c>
      <c r="F10">
        <v>36</v>
      </c>
      <c r="G10">
        <v>0</v>
      </c>
      <c r="H10" s="1">
        <v>36</v>
      </c>
      <c r="I10">
        <v>0</v>
      </c>
      <c r="J10">
        <v>0</v>
      </c>
      <c r="K10">
        <v>0</v>
      </c>
    </row>
    <row r="11" spans="1:11" x14ac:dyDescent="0.25">
      <c r="A11" t="s">
        <v>89</v>
      </c>
      <c r="B11">
        <v>2</v>
      </c>
      <c r="C11">
        <v>41</v>
      </c>
      <c r="D11">
        <v>8</v>
      </c>
      <c r="E11" s="1">
        <v>33</v>
      </c>
      <c r="F11">
        <v>18</v>
      </c>
      <c r="G11">
        <v>5</v>
      </c>
      <c r="H11" s="1">
        <v>13</v>
      </c>
      <c r="I11">
        <v>0</v>
      </c>
      <c r="J11">
        <v>3</v>
      </c>
      <c r="K11">
        <v>0</v>
      </c>
    </row>
    <row r="12" spans="1:11" x14ac:dyDescent="0.25">
      <c r="A12" t="s">
        <v>15</v>
      </c>
      <c r="B12">
        <v>7</v>
      </c>
      <c r="C12">
        <v>147.5</v>
      </c>
      <c r="D12">
        <v>24.5</v>
      </c>
      <c r="E12" s="1">
        <v>123</v>
      </c>
      <c r="F12">
        <v>63</v>
      </c>
      <c r="G12">
        <v>6</v>
      </c>
      <c r="H12" s="1">
        <v>57</v>
      </c>
      <c r="I12">
        <v>1</v>
      </c>
      <c r="J12">
        <v>0</v>
      </c>
      <c r="K12">
        <v>0</v>
      </c>
    </row>
    <row r="13" spans="1:11" x14ac:dyDescent="0.25">
      <c r="A13" t="s">
        <v>66</v>
      </c>
      <c r="B13">
        <v>2</v>
      </c>
      <c r="C13">
        <v>42</v>
      </c>
      <c r="D13">
        <v>2</v>
      </c>
      <c r="E13" s="1">
        <v>40</v>
      </c>
      <c r="F13">
        <v>18</v>
      </c>
      <c r="G13">
        <v>0</v>
      </c>
      <c r="H13" s="1">
        <v>18</v>
      </c>
      <c r="I13">
        <v>0</v>
      </c>
      <c r="J13">
        <v>0</v>
      </c>
      <c r="K13">
        <v>0</v>
      </c>
    </row>
    <row r="14" spans="1:11" x14ac:dyDescent="0.25">
      <c r="A14" t="s">
        <v>36</v>
      </c>
      <c r="B14">
        <v>4</v>
      </c>
      <c r="C14">
        <v>94</v>
      </c>
      <c r="D14">
        <v>27.5</v>
      </c>
      <c r="E14" s="1">
        <v>66.5</v>
      </c>
      <c r="F14">
        <v>36</v>
      </c>
      <c r="G14">
        <v>3</v>
      </c>
      <c r="H14" s="1">
        <v>33</v>
      </c>
      <c r="I14">
        <v>1</v>
      </c>
      <c r="J14">
        <v>4</v>
      </c>
      <c r="K14">
        <v>0</v>
      </c>
    </row>
    <row r="15" spans="1:11" x14ac:dyDescent="0.25">
      <c r="A15" t="s">
        <v>51</v>
      </c>
      <c r="B15">
        <v>3</v>
      </c>
      <c r="C15">
        <v>72.5</v>
      </c>
      <c r="D15">
        <v>9</v>
      </c>
      <c r="E15" s="1">
        <v>63.5</v>
      </c>
      <c r="F15">
        <v>27</v>
      </c>
      <c r="G15">
        <v>0</v>
      </c>
      <c r="H15" s="1">
        <v>27</v>
      </c>
      <c r="I15">
        <v>0</v>
      </c>
      <c r="J15">
        <v>0</v>
      </c>
      <c r="K15">
        <v>0</v>
      </c>
    </row>
    <row r="16" spans="1:11" x14ac:dyDescent="0.25">
      <c r="A16" t="s">
        <v>19</v>
      </c>
      <c r="B16">
        <v>2</v>
      </c>
      <c r="C16">
        <v>49.5</v>
      </c>
      <c r="D16">
        <v>13.5</v>
      </c>
      <c r="E16" s="1">
        <v>36</v>
      </c>
      <c r="F16">
        <v>18</v>
      </c>
      <c r="G16">
        <v>0</v>
      </c>
      <c r="H16" s="1">
        <v>18</v>
      </c>
      <c r="I16">
        <v>0</v>
      </c>
      <c r="J16">
        <v>0</v>
      </c>
      <c r="K16">
        <v>0</v>
      </c>
    </row>
    <row r="17" spans="1:11" x14ac:dyDescent="0.25">
      <c r="A17" t="s">
        <v>29</v>
      </c>
      <c r="B17">
        <v>10</v>
      </c>
      <c r="C17">
        <v>224</v>
      </c>
      <c r="D17">
        <v>64</v>
      </c>
      <c r="E17" s="1">
        <v>160</v>
      </c>
      <c r="F17">
        <v>90</v>
      </c>
      <c r="G17">
        <v>39.5</v>
      </c>
      <c r="H17" s="1">
        <v>50.5</v>
      </c>
      <c r="I17">
        <v>3</v>
      </c>
      <c r="J17">
        <v>5</v>
      </c>
      <c r="K17">
        <v>0</v>
      </c>
    </row>
  </sheetData>
  <conditionalFormatting sqref="E5:E17 H5:H17">
    <cfRule type="cellIs" dxfId="9" priority="2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selection activeCell="D4" sqref="D4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26.5703125" bestFit="1" customWidth="1"/>
    <col min="4" max="4" width="22.5703125" bestFit="1" customWidth="1"/>
    <col min="5" max="5" width="25.42578125" bestFit="1" customWidth="1"/>
    <col min="6" max="6" width="18.7109375" bestFit="1" customWidth="1"/>
    <col min="7" max="7" width="14.7109375" bestFit="1" customWidth="1"/>
    <col min="8" max="8" width="15.85546875" bestFit="1" customWidth="1"/>
    <col min="9" max="9" width="20.7109375" bestFit="1" customWidth="1"/>
    <col min="10" max="10" width="28.5703125" bestFit="1" customWidth="1"/>
    <col min="11" max="11" width="14.140625" bestFit="1" customWidth="1"/>
  </cols>
  <sheetData>
    <row r="1" spans="1:11" ht="15.75" x14ac:dyDescent="0.25">
      <c r="A1" s="11" t="s">
        <v>354</v>
      </c>
    </row>
    <row r="2" spans="1:11" ht="15.75" x14ac:dyDescent="0.25">
      <c r="A2" s="11" t="s">
        <v>358</v>
      </c>
    </row>
    <row r="3" spans="1:11" ht="15.75" x14ac:dyDescent="0.25">
      <c r="A3" s="11"/>
    </row>
    <row r="4" spans="1:11" x14ac:dyDescent="0.25">
      <c r="A4" t="s">
        <v>3</v>
      </c>
      <c r="B4" t="s">
        <v>352</v>
      </c>
      <c r="C4" t="s">
        <v>359</v>
      </c>
      <c r="D4" t="s">
        <v>360</v>
      </c>
      <c r="E4" t="s">
        <v>5</v>
      </c>
      <c r="F4" t="s">
        <v>362</v>
      </c>
      <c r="G4" t="s">
        <v>361</v>
      </c>
      <c r="H4" t="s">
        <v>6</v>
      </c>
      <c r="I4" t="s">
        <v>7</v>
      </c>
      <c r="J4" t="s">
        <v>8</v>
      </c>
      <c r="K4" t="s">
        <v>9</v>
      </c>
    </row>
    <row r="5" spans="1:11" x14ac:dyDescent="0.25">
      <c r="A5" t="s">
        <v>27</v>
      </c>
      <c r="B5">
        <v>13</v>
      </c>
      <c r="C5">
        <v>384</v>
      </c>
      <c r="D5">
        <v>115</v>
      </c>
      <c r="E5" s="1">
        <v>269</v>
      </c>
      <c r="F5">
        <v>117</v>
      </c>
      <c r="G5">
        <v>30.5</v>
      </c>
      <c r="H5" s="1">
        <v>86.5</v>
      </c>
      <c r="I5">
        <v>29</v>
      </c>
      <c r="J5">
        <v>3</v>
      </c>
      <c r="K5">
        <v>0</v>
      </c>
    </row>
    <row r="6" spans="1:11" x14ac:dyDescent="0.25">
      <c r="A6" t="s">
        <v>12</v>
      </c>
      <c r="B6">
        <v>67</v>
      </c>
      <c r="C6">
        <v>1341.5</v>
      </c>
      <c r="D6">
        <v>245</v>
      </c>
      <c r="E6">
        <v>1096.5</v>
      </c>
      <c r="F6">
        <v>107</v>
      </c>
      <c r="G6">
        <v>531</v>
      </c>
      <c r="H6">
        <v>424</v>
      </c>
      <c r="I6">
        <v>13.5</v>
      </c>
      <c r="J6">
        <v>18</v>
      </c>
      <c r="K6">
        <v>0</v>
      </c>
    </row>
  </sheetData>
  <conditionalFormatting sqref="E5:E6 H5:H6">
    <cfRule type="cellIs" dxfId="8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F37" sqref="F37"/>
    </sheetView>
  </sheetViews>
  <sheetFormatPr defaultRowHeight="15" x14ac:dyDescent="0.25"/>
  <cols>
    <col min="1" max="1" width="8.85546875" bestFit="1" customWidth="1"/>
    <col min="2" max="2" width="12.85546875" bestFit="1" customWidth="1"/>
    <col min="3" max="3" width="26.5703125" bestFit="1" customWidth="1"/>
    <col min="4" max="4" width="22.5703125" bestFit="1" customWidth="1"/>
    <col min="5" max="5" width="25.42578125" bestFit="1" customWidth="1"/>
    <col min="6" max="6" width="18.7109375" bestFit="1" customWidth="1"/>
    <col min="7" max="7" width="14.7109375" bestFit="1" customWidth="1"/>
    <col min="8" max="8" width="15.85546875" bestFit="1" customWidth="1"/>
    <col min="9" max="9" width="20.7109375" bestFit="1" customWidth="1"/>
    <col min="10" max="10" width="28.5703125" bestFit="1" customWidth="1"/>
    <col min="11" max="11" width="14.140625" bestFit="1" customWidth="1"/>
  </cols>
  <sheetData>
    <row r="1" spans="1:11" ht="15.75" x14ac:dyDescent="0.25">
      <c r="A1" s="11" t="s">
        <v>356</v>
      </c>
    </row>
    <row r="2" spans="1:11" ht="15.75" x14ac:dyDescent="0.25">
      <c r="A2" s="11" t="s">
        <v>358</v>
      </c>
    </row>
    <row r="4" spans="1:11" x14ac:dyDescent="0.25">
      <c r="A4" t="s">
        <v>4</v>
      </c>
      <c r="B4" t="s">
        <v>352</v>
      </c>
      <c r="C4" t="s">
        <v>359</v>
      </c>
      <c r="D4" t="s">
        <v>360</v>
      </c>
      <c r="E4" t="s">
        <v>5</v>
      </c>
      <c r="F4" t="s">
        <v>362</v>
      </c>
      <c r="G4" t="s">
        <v>361</v>
      </c>
      <c r="H4" t="s">
        <v>6</v>
      </c>
      <c r="I4" t="s">
        <v>7</v>
      </c>
      <c r="J4" t="s">
        <v>8</v>
      </c>
      <c r="K4" t="s">
        <v>9</v>
      </c>
    </row>
    <row r="5" spans="1:11" x14ac:dyDescent="0.25">
      <c r="A5" t="s">
        <v>23</v>
      </c>
      <c r="B5">
        <v>9</v>
      </c>
      <c r="C5">
        <v>187.5</v>
      </c>
      <c r="D5">
        <v>21</v>
      </c>
      <c r="E5" s="12">
        <v>166.5</v>
      </c>
      <c r="F5">
        <v>81</v>
      </c>
      <c r="G5">
        <v>1</v>
      </c>
      <c r="H5" s="12">
        <v>80</v>
      </c>
      <c r="I5">
        <v>2</v>
      </c>
      <c r="J5">
        <v>0</v>
      </c>
      <c r="K5">
        <v>0</v>
      </c>
    </row>
    <row r="6" spans="1:11" x14ac:dyDescent="0.25">
      <c r="A6" t="s">
        <v>13</v>
      </c>
      <c r="B6">
        <v>42</v>
      </c>
      <c r="C6">
        <v>1041</v>
      </c>
      <c r="D6">
        <v>262</v>
      </c>
      <c r="E6" s="12">
        <v>779</v>
      </c>
      <c r="F6">
        <v>378</v>
      </c>
      <c r="G6">
        <v>87</v>
      </c>
      <c r="H6" s="12">
        <v>291</v>
      </c>
      <c r="I6">
        <v>36</v>
      </c>
      <c r="J6">
        <v>15</v>
      </c>
      <c r="K6">
        <v>0</v>
      </c>
    </row>
    <row r="7" spans="1:11" x14ac:dyDescent="0.25">
      <c r="A7" t="s">
        <v>20</v>
      </c>
      <c r="B7">
        <v>21</v>
      </c>
      <c r="C7">
        <v>497</v>
      </c>
      <c r="D7">
        <v>77</v>
      </c>
      <c r="E7" s="12">
        <v>420</v>
      </c>
      <c r="F7">
        <v>189</v>
      </c>
      <c r="G7">
        <v>49.5</v>
      </c>
      <c r="H7" s="12">
        <v>139.5</v>
      </c>
      <c r="I7">
        <v>4.5</v>
      </c>
      <c r="J7">
        <v>6</v>
      </c>
      <c r="K7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W23"/>
  <sheetViews>
    <sheetView workbookViewId="0">
      <selection activeCell="I27" sqref="I27"/>
    </sheetView>
  </sheetViews>
  <sheetFormatPr defaultRowHeight="15" x14ac:dyDescent="0.25"/>
  <cols>
    <col min="1" max="1" width="19.140625" bestFit="1" customWidth="1"/>
    <col min="177" max="177" width="9.140625" style="14"/>
  </cols>
  <sheetData>
    <row r="1" spans="1:205" ht="15.75" x14ac:dyDescent="0.25">
      <c r="A1" s="11" t="s">
        <v>100</v>
      </c>
      <c r="B1" s="11"/>
    </row>
    <row r="2" spans="1:205" ht="15.75" x14ac:dyDescent="0.25">
      <c r="A2" s="11" t="s">
        <v>363</v>
      </c>
      <c r="B2" s="11"/>
    </row>
    <row r="3" spans="1:205" ht="15.75" x14ac:dyDescent="0.25">
      <c r="A3" s="11"/>
      <c r="B3" s="11"/>
    </row>
    <row r="4" spans="1:205" s="10" customFormat="1" x14ac:dyDescent="0.25">
      <c r="B4" s="10" t="s">
        <v>14</v>
      </c>
      <c r="G4" s="10" t="s">
        <v>17</v>
      </c>
      <c r="L4" s="10" t="s">
        <v>18</v>
      </c>
      <c r="Q4" s="10" t="s">
        <v>21</v>
      </c>
      <c r="V4" s="10" t="s">
        <v>24</v>
      </c>
      <c r="AA4" s="10" t="s">
        <v>28</v>
      </c>
      <c r="AF4" s="10" t="s">
        <v>31</v>
      </c>
      <c r="AK4" s="10" t="s">
        <v>33</v>
      </c>
      <c r="AP4" s="10" t="s">
        <v>34</v>
      </c>
      <c r="AU4" s="10" t="s">
        <v>35</v>
      </c>
      <c r="AZ4" s="10" t="s">
        <v>37</v>
      </c>
      <c r="BE4" s="10" t="s">
        <v>40</v>
      </c>
      <c r="BJ4" s="10" t="s">
        <v>42</v>
      </c>
      <c r="BO4" s="10" t="s">
        <v>44</v>
      </c>
      <c r="BT4" s="10" t="s">
        <v>46</v>
      </c>
      <c r="BY4" s="10" t="s">
        <v>47</v>
      </c>
      <c r="CD4" s="10" t="s">
        <v>48</v>
      </c>
      <c r="CI4" s="10" t="s">
        <v>49</v>
      </c>
      <c r="CN4" s="10" t="s">
        <v>53</v>
      </c>
      <c r="CS4" s="10" t="s">
        <v>56</v>
      </c>
      <c r="CX4" s="10" t="s">
        <v>57</v>
      </c>
      <c r="DC4" s="10" t="s">
        <v>58</v>
      </c>
      <c r="DH4" s="10" t="s">
        <v>59</v>
      </c>
      <c r="DM4" s="10" t="s">
        <v>60</v>
      </c>
      <c r="DR4" s="10" t="s">
        <v>61</v>
      </c>
      <c r="DW4" s="10" t="s">
        <v>64</v>
      </c>
      <c r="EB4" s="10" t="s">
        <v>67</v>
      </c>
      <c r="EG4" s="10" t="s">
        <v>68</v>
      </c>
      <c r="EL4" s="10" t="s">
        <v>71</v>
      </c>
      <c r="EQ4" s="10" t="s">
        <v>78</v>
      </c>
      <c r="EV4" s="10" t="s">
        <v>81</v>
      </c>
      <c r="FA4" s="10" t="s">
        <v>82</v>
      </c>
      <c r="FF4" s="10" t="s">
        <v>83</v>
      </c>
      <c r="FK4" s="10" t="s">
        <v>84</v>
      </c>
      <c r="FP4" s="10" t="s">
        <v>85</v>
      </c>
      <c r="FU4" s="15" t="s">
        <v>90</v>
      </c>
      <c r="FZ4" s="10" t="s">
        <v>92</v>
      </c>
      <c r="GE4" s="10" t="s">
        <v>94</v>
      </c>
      <c r="GJ4" s="10" t="s">
        <v>95</v>
      </c>
      <c r="GO4" s="10" t="s">
        <v>96</v>
      </c>
      <c r="GT4" s="10" t="s">
        <v>99</v>
      </c>
    </row>
    <row r="5" spans="1:205" x14ac:dyDescent="0.25">
      <c r="B5" t="s">
        <v>101</v>
      </c>
      <c r="C5" t="s">
        <v>102</v>
      </c>
      <c r="D5" t="s">
        <v>103</v>
      </c>
      <c r="E5" t="s">
        <v>104</v>
      </c>
      <c r="G5" t="s">
        <v>101</v>
      </c>
      <c r="H5" t="s">
        <v>102</v>
      </c>
      <c r="I5" t="s">
        <v>103</v>
      </c>
      <c r="J5" t="s">
        <v>104</v>
      </c>
      <c r="L5" t="s">
        <v>101</v>
      </c>
      <c r="M5" t="s">
        <v>102</v>
      </c>
      <c r="N5" t="s">
        <v>103</v>
      </c>
      <c r="O5" t="s">
        <v>104</v>
      </c>
      <c r="Q5" t="s">
        <v>101</v>
      </c>
      <c r="R5" t="s">
        <v>102</v>
      </c>
      <c r="S5" t="s">
        <v>103</v>
      </c>
      <c r="T5" t="s">
        <v>104</v>
      </c>
      <c r="V5" t="s">
        <v>101</v>
      </c>
      <c r="W5" t="s">
        <v>102</v>
      </c>
      <c r="X5" t="s">
        <v>103</v>
      </c>
      <c r="Y5" t="s">
        <v>104</v>
      </c>
      <c r="AA5" t="s">
        <v>101</v>
      </c>
      <c r="AB5" t="s">
        <v>102</v>
      </c>
      <c r="AC5" t="s">
        <v>103</v>
      </c>
      <c r="AD5" t="s">
        <v>104</v>
      </c>
      <c r="AF5" t="s">
        <v>101</v>
      </c>
      <c r="AG5" t="s">
        <v>102</v>
      </c>
      <c r="AH5" t="s">
        <v>103</v>
      </c>
      <c r="AI5" t="s">
        <v>104</v>
      </c>
      <c r="AK5" t="s">
        <v>101</v>
      </c>
      <c r="AL5" t="s">
        <v>102</v>
      </c>
      <c r="AM5" t="s">
        <v>103</v>
      </c>
      <c r="AN5" t="s">
        <v>104</v>
      </c>
      <c r="AP5" t="s">
        <v>101</v>
      </c>
      <c r="AQ5" t="s">
        <v>102</v>
      </c>
      <c r="AR5" t="s">
        <v>103</v>
      </c>
      <c r="AS5" t="s">
        <v>104</v>
      </c>
      <c r="AU5" t="s">
        <v>101</v>
      </c>
      <c r="AV5" t="s">
        <v>102</v>
      </c>
      <c r="AW5" t="s">
        <v>103</v>
      </c>
      <c r="AX5" t="s">
        <v>104</v>
      </c>
      <c r="AZ5" t="s">
        <v>101</v>
      </c>
      <c r="BA5" t="s">
        <v>102</v>
      </c>
      <c r="BB5" t="s">
        <v>103</v>
      </c>
      <c r="BC5" t="s">
        <v>104</v>
      </c>
      <c r="BE5" t="s">
        <v>101</v>
      </c>
      <c r="BF5" t="s">
        <v>102</v>
      </c>
      <c r="BG5" t="s">
        <v>103</v>
      </c>
      <c r="BH5" t="s">
        <v>104</v>
      </c>
      <c r="BJ5" t="s">
        <v>101</v>
      </c>
      <c r="BK5" t="s">
        <v>102</v>
      </c>
      <c r="BL5" t="s">
        <v>103</v>
      </c>
      <c r="BM5" t="s">
        <v>104</v>
      </c>
      <c r="BO5" t="s">
        <v>101</v>
      </c>
      <c r="BP5" t="s">
        <v>102</v>
      </c>
      <c r="BQ5" t="s">
        <v>103</v>
      </c>
      <c r="BR5" t="s">
        <v>104</v>
      </c>
      <c r="BT5" t="s">
        <v>101</v>
      </c>
      <c r="BU5" t="s">
        <v>102</v>
      </c>
      <c r="BV5" t="s">
        <v>103</v>
      </c>
      <c r="BW5" t="s">
        <v>104</v>
      </c>
      <c r="BY5" t="s">
        <v>101</v>
      </c>
      <c r="BZ5" t="s">
        <v>102</v>
      </c>
      <c r="CA5" t="s">
        <v>103</v>
      </c>
      <c r="CB5" t="s">
        <v>104</v>
      </c>
      <c r="CD5" t="s">
        <v>101</v>
      </c>
      <c r="CE5" t="s">
        <v>102</v>
      </c>
      <c r="CF5" t="s">
        <v>103</v>
      </c>
      <c r="CG5" t="s">
        <v>104</v>
      </c>
      <c r="CI5" t="s">
        <v>101</v>
      </c>
      <c r="CJ5" t="s">
        <v>102</v>
      </c>
      <c r="CK5" t="s">
        <v>103</v>
      </c>
      <c r="CL5" t="s">
        <v>104</v>
      </c>
      <c r="CN5" t="s">
        <v>101</v>
      </c>
      <c r="CO5" t="s">
        <v>102</v>
      </c>
      <c r="CP5" t="s">
        <v>103</v>
      </c>
      <c r="CQ5" t="s">
        <v>104</v>
      </c>
      <c r="CS5" t="s">
        <v>101</v>
      </c>
      <c r="CT5" t="s">
        <v>102</v>
      </c>
      <c r="CU5" t="s">
        <v>103</v>
      </c>
      <c r="CV5" t="s">
        <v>104</v>
      </c>
      <c r="CX5" t="s">
        <v>101</v>
      </c>
      <c r="CY5" t="s">
        <v>102</v>
      </c>
      <c r="CZ5" t="s">
        <v>103</v>
      </c>
      <c r="DA5" t="s">
        <v>104</v>
      </c>
      <c r="DC5" t="s">
        <v>101</v>
      </c>
      <c r="DD5" t="s">
        <v>102</v>
      </c>
      <c r="DE5" t="s">
        <v>103</v>
      </c>
      <c r="DF5" t="s">
        <v>104</v>
      </c>
      <c r="DH5" t="s">
        <v>101</v>
      </c>
      <c r="DI5" t="s">
        <v>102</v>
      </c>
      <c r="DJ5" t="s">
        <v>103</v>
      </c>
      <c r="DK5" t="s">
        <v>104</v>
      </c>
      <c r="DM5" t="s">
        <v>101</v>
      </c>
      <c r="DN5" t="s">
        <v>102</v>
      </c>
      <c r="DO5" t="s">
        <v>103</v>
      </c>
      <c r="DP5" t="s">
        <v>104</v>
      </c>
      <c r="DR5" t="s">
        <v>101</v>
      </c>
      <c r="DS5" t="s">
        <v>102</v>
      </c>
      <c r="DT5" t="s">
        <v>103</v>
      </c>
      <c r="DU5" t="s">
        <v>104</v>
      </c>
      <c r="DW5" t="s">
        <v>101</v>
      </c>
      <c r="DX5" t="s">
        <v>102</v>
      </c>
      <c r="DY5" t="s">
        <v>103</v>
      </c>
      <c r="DZ5" t="s">
        <v>104</v>
      </c>
      <c r="EB5" t="s">
        <v>101</v>
      </c>
      <c r="EC5" t="s">
        <v>102</v>
      </c>
      <c r="ED5" t="s">
        <v>103</v>
      </c>
      <c r="EE5" t="s">
        <v>104</v>
      </c>
      <c r="EG5" t="s">
        <v>101</v>
      </c>
      <c r="EH5" t="s">
        <v>102</v>
      </c>
      <c r="EI5" t="s">
        <v>103</v>
      </c>
      <c r="EJ5" t="s">
        <v>104</v>
      </c>
      <c r="EL5" t="s">
        <v>101</v>
      </c>
      <c r="EM5" t="s">
        <v>102</v>
      </c>
      <c r="EN5" t="s">
        <v>103</v>
      </c>
      <c r="EO5" t="s">
        <v>104</v>
      </c>
      <c r="EQ5" t="s">
        <v>101</v>
      </c>
      <c r="ER5" t="s">
        <v>102</v>
      </c>
      <c r="ES5" t="s">
        <v>103</v>
      </c>
      <c r="ET5" t="s">
        <v>104</v>
      </c>
      <c r="EV5" t="s">
        <v>101</v>
      </c>
      <c r="EW5" t="s">
        <v>102</v>
      </c>
      <c r="EX5" t="s">
        <v>103</v>
      </c>
      <c r="EY5" t="s">
        <v>104</v>
      </c>
      <c r="FA5" t="s">
        <v>101</v>
      </c>
      <c r="FB5" t="s">
        <v>102</v>
      </c>
      <c r="FC5" t="s">
        <v>103</v>
      </c>
      <c r="FD5" t="s">
        <v>104</v>
      </c>
      <c r="FF5" t="s">
        <v>101</v>
      </c>
      <c r="FG5" t="s">
        <v>102</v>
      </c>
      <c r="FH5" t="s">
        <v>103</v>
      </c>
      <c r="FI5" t="s">
        <v>104</v>
      </c>
      <c r="FK5" t="s">
        <v>101</v>
      </c>
      <c r="FL5" t="s">
        <v>102</v>
      </c>
      <c r="FM5" t="s">
        <v>103</v>
      </c>
      <c r="FN5" t="s">
        <v>104</v>
      </c>
      <c r="FP5" t="s">
        <v>101</v>
      </c>
      <c r="FQ5" t="s">
        <v>102</v>
      </c>
      <c r="FR5" t="s">
        <v>103</v>
      </c>
      <c r="FS5" t="s">
        <v>104</v>
      </c>
      <c r="FU5" s="14" t="s">
        <v>101</v>
      </c>
      <c r="FV5" t="s">
        <v>102</v>
      </c>
      <c r="FW5" t="s">
        <v>103</v>
      </c>
      <c r="FX5" t="s">
        <v>104</v>
      </c>
      <c r="FZ5" t="s">
        <v>101</v>
      </c>
      <c r="GA5" t="s">
        <v>102</v>
      </c>
      <c r="GB5" t="s">
        <v>103</v>
      </c>
      <c r="GC5" t="s">
        <v>104</v>
      </c>
      <c r="GE5" t="s">
        <v>101</v>
      </c>
      <c r="GF5" t="s">
        <v>102</v>
      </c>
      <c r="GG5" t="s">
        <v>103</v>
      </c>
      <c r="GH5" t="s">
        <v>104</v>
      </c>
      <c r="GJ5" t="s">
        <v>101</v>
      </c>
      <c r="GK5" t="s">
        <v>102</v>
      </c>
      <c r="GL5" t="s">
        <v>103</v>
      </c>
      <c r="GM5" t="s">
        <v>104</v>
      </c>
      <c r="GO5" t="s">
        <v>101</v>
      </c>
      <c r="GP5" t="s">
        <v>102</v>
      </c>
      <c r="GQ5" t="s">
        <v>103</v>
      </c>
      <c r="GR5" t="s">
        <v>104</v>
      </c>
      <c r="GT5" t="s">
        <v>101</v>
      </c>
      <c r="GU5" t="s">
        <v>102</v>
      </c>
      <c r="GV5" t="s">
        <v>103</v>
      </c>
      <c r="GW5" t="s">
        <v>104</v>
      </c>
    </row>
    <row r="6" spans="1:205" x14ac:dyDescent="0.25">
      <c r="A6" t="s">
        <v>105</v>
      </c>
      <c r="B6" t="s">
        <v>106</v>
      </c>
      <c r="C6" t="s">
        <v>107</v>
      </c>
      <c r="D6" t="s">
        <v>108</v>
      </c>
      <c r="E6" s="7">
        <v>0</v>
      </c>
      <c r="G6" t="s">
        <v>109</v>
      </c>
      <c r="H6" t="s">
        <v>110</v>
      </c>
      <c r="I6" t="s">
        <v>111</v>
      </c>
      <c r="J6" s="8">
        <v>0.41</v>
      </c>
      <c r="L6" t="s">
        <v>112</v>
      </c>
      <c r="M6" t="s">
        <v>113</v>
      </c>
      <c r="N6" t="s">
        <v>114</v>
      </c>
      <c r="O6" s="5">
        <v>-4.16</v>
      </c>
      <c r="Q6" t="s">
        <v>115</v>
      </c>
      <c r="R6" t="s">
        <v>116</v>
      </c>
      <c r="S6" t="s">
        <v>117</v>
      </c>
      <c r="T6" s="2">
        <v>2.75</v>
      </c>
      <c r="V6" t="s">
        <v>118</v>
      </c>
      <c r="W6" t="s">
        <v>110</v>
      </c>
      <c r="X6" t="s">
        <v>119</v>
      </c>
      <c r="Y6" s="8">
        <v>0.26</v>
      </c>
      <c r="AA6" t="s">
        <v>120</v>
      </c>
      <c r="AB6" t="s">
        <v>110</v>
      </c>
      <c r="AC6" t="s">
        <v>108</v>
      </c>
      <c r="AD6" s="3">
        <v>0.96</v>
      </c>
      <c r="AF6" t="s">
        <v>121</v>
      </c>
      <c r="AG6" t="s">
        <v>122</v>
      </c>
      <c r="AH6" t="s">
        <v>123</v>
      </c>
      <c r="AI6" s="9">
        <v>-0.39</v>
      </c>
      <c r="AK6" t="s">
        <v>124</v>
      </c>
      <c r="AL6" t="s">
        <v>110</v>
      </c>
      <c r="AM6" t="s">
        <v>125</v>
      </c>
      <c r="AN6" s="8">
        <v>0.45</v>
      </c>
      <c r="AP6" t="s">
        <v>106</v>
      </c>
      <c r="AQ6" t="s">
        <v>107</v>
      </c>
      <c r="AR6" t="s">
        <v>108</v>
      </c>
      <c r="AS6" s="7">
        <v>0</v>
      </c>
      <c r="AU6" t="s">
        <v>126</v>
      </c>
      <c r="AV6" t="s">
        <v>127</v>
      </c>
      <c r="AW6" t="s">
        <v>119</v>
      </c>
      <c r="AX6" s="9">
        <v>-0.02</v>
      </c>
      <c r="AZ6" t="s">
        <v>128</v>
      </c>
      <c r="BA6" t="s">
        <v>110</v>
      </c>
      <c r="BB6" t="s">
        <v>108</v>
      </c>
      <c r="BC6" s="3">
        <v>0.74</v>
      </c>
      <c r="BE6" t="s">
        <v>129</v>
      </c>
      <c r="BF6" t="s">
        <v>130</v>
      </c>
      <c r="BG6" t="s">
        <v>131</v>
      </c>
      <c r="BH6" s="3">
        <v>0.67</v>
      </c>
      <c r="BJ6" t="s">
        <v>132</v>
      </c>
      <c r="BK6" t="s">
        <v>133</v>
      </c>
      <c r="BL6" t="s">
        <v>134</v>
      </c>
      <c r="BM6" s="8">
        <v>0.36</v>
      </c>
      <c r="BO6" t="s">
        <v>135</v>
      </c>
      <c r="BP6" t="s">
        <v>110</v>
      </c>
      <c r="BQ6" t="s">
        <v>136</v>
      </c>
      <c r="BR6" s="8">
        <v>0.2</v>
      </c>
      <c r="BT6" t="s">
        <v>106</v>
      </c>
      <c r="BU6" t="s">
        <v>107</v>
      </c>
      <c r="BV6" t="s">
        <v>108</v>
      </c>
      <c r="BW6" s="7">
        <v>0</v>
      </c>
      <c r="BY6" t="s">
        <v>132</v>
      </c>
      <c r="BZ6" t="s">
        <v>137</v>
      </c>
      <c r="CA6" t="s">
        <v>136</v>
      </c>
      <c r="CB6" s="8">
        <v>0.13</v>
      </c>
      <c r="CD6" t="s">
        <v>138</v>
      </c>
      <c r="CE6" t="s">
        <v>139</v>
      </c>
      <c r="CF6" t="s">
        <v>140</v>
      </c>
      <c r="CG6" s="3">
        <v>0.7</v>
      </c>
      <c r="CI6" t="s">
        <v>135</v>
      </c>
      <c r="CJ6" t="s">
        <v>110</v>
      </c>
      <c r="CK6" t="s">
        <v>114</v>
      </c>
      <c r="CL6" s="8">
        <v>0.14000000000000001</v>
      </c>
      <c r="CN6" t="s">
        <v>115</v>
      </c>
      <c r="CO6" t="s">
        <v>141</v>
      </c>
      <c r="CP6" t="s">
        <v>142</v>
      </c>
      <c r="CQ6" s="2">
        <v>2.6</v>
      </c>
      <c r="CS6" t="s">
        <v>143</v>
      </c>
      <c r="CT6" t="s">
        <v>144</v>
      </c>
      <c r="CU6" t="s">
        <v>145</v>
      </c>
      <c r="CV6" s="3">
        <v>1.1599999999999999</v>
      </c>
      <c r="CX6" t="s">
        <v>146</v>
      </c>
      <c r="CY6" t="s">
        <v>110</v>
      </c>
      <c r="CZ6" t="s">
        <v>147</v>
      </c>
      <c r="DA6" s="8">
        <v>0.12</v>
      </c>
      <c r="DC6" t="s">
        <v>106</v>
      </c>
      <c r="DD6" t="s">
        <v>107</v>
      </c>
      <c r="DE6" t="s">
        <v>108</v>
      </c>
      <c r="DF6" s="7">
        <v>0</v>
      </c>
      <c r="DH6" t="s">
        <v>106</v>
      </c>
      <c r="DI6" t="s">
        <v>107</v>
      </c>
      <c r="DJ6" t="s">
        <v>108</v>
      </c>
      <c r="DK6" s="7">
        <v>0</v>
      </c>
      <c r="DM6" t="s">
        <v>106</v>
      </c>
      <c r="DN6" t="s">
        <v>110</v>
      </c>
      <c r="DO6" t="s">
        <v>114</v>
      </c>
      <c r="DP6" s="8">
        <v>0.37</v>
      </c>
      <c r="DR6" t="s">
        <v>138</v>
      </c>
      <c r="DS6" t="s">
        <v>110</v>
      </c>
      <c r="DT6" t="s">
        <v>145</v>
      </c>
      <c r="DU6" s="8">
        <v>0.44</v>
      </c>
      <c r="DW6" t="s">
        <v>126</v>
      </c>
      <c r="DX6" t="s">
        <v>148</v>
      </c>
      <c r="DY6" t="s">
        <v>119</v>
      </c>
      <c r="DZ6" s="9">
        <v>-0.16</v>
      </c>
      <c r="EB6" t="s">
        <v>106</v>
      </c>
      <c r="EC6" t="s">
        <v>107</v>
      </c>
      <c r="ED6" t="s">
        <v>108</v>
      </c>
      <c r="EE6" s="7">
        <v>0</v>
      </c>
      <c r="EG6" t="s">
        <v>106</v>
      </c>
      <c r="EH6" t="s">
        <v>107</v>
      </c>
      <c r="EI6" t="s">
        <v>108</v>
      </c>
      <c r="EJ6" s="7">
        <v>0</v>
      </c>
      <c r="EL6" t="s">
        <v>106</v>
      </c>
      <c r="EM6" t="s">
        <v>107</v>
      </c>
      <c r="EN6" t="s">
        <v>108</v>
      </c>
      <c r="EO6" s="7">
        <v>0</v>
      </c>
      <c r="EQ6" t="s">
        <v>106</v>
      </c>
      <c r="ER6" t="s">
        <v>107</v>
      </c>
      <c r="ES6" t="s">
        <v>108</v>
      </c>
      <c r="ET6" s="7">
        <v>0</v>
      </c>
      <c r="EV6" t="s">
        <v>149</v>
      </c>
      <c r="EW6" t="s">
        <v>150</v>
      </c>
      <c r="EX6" t="s">
        <v>131</v>
      </c>
      <c r="EY6" s="3">
        <v>0.71</v>
      </c>
      <c r="FA6" t="s">
        <v>106</v>
      </c>
      <c r="FB6" t="s">
        <v>107</v>
      </c>
      <c r="FC6" t="s">
        <v>108</v>
      </c>
      <c r="FD6" s="7">
        <v>0</v>
      </c>
      <c r="FF6" t="s">
        <v>106</v>
      </c>
      <c r="FG6" t="s">
        <v>107</v>
      </c>
      <c r="FH6" t="s">
        <v>108</v>
      </c>
      <c r="FI6" s="7">
        <v>0</v>
      </c>
      <c r="FK6" t="s">
        <v>106</v>
      </c>
      <c r="FL6" t="s">
        <v>107</v>
      </c>
      <c r="FM6" t="s">
        <v>108</v>
      </c>
      <c r="FN6" s="7">
        <v>0</v>
      </c>
      <c r="FP6" t="s">
        <v>106</v>
      </c>
      <c r="FQ6" t="s">
        <v>110</v>
      </c>
      <c r="FR6" t="s">
        <v>147</v>
      </c>
      <c r="FS6" s="8">
        <v>0.34</v>
      </c>
      <c r="FU6" s="14" t="s">
        <v>106</v>
      </c>
      <c r="FV6" t="s">
        <v>107</v>
      </c>
      <c r="FW6" t="s">
        <v>108</v>
      </c>
      <c r="FX6" s="7">
        <v>0</v>
      </c>
      <c r="FZ6" t="s">
        <v>146</v>
      </c>
      <c r="GA6" t="s">
        <v>110</v>
      </c>
      <c r="GB6" t="s">
        <v>142</v>
      </c>
      <c r="GC6" s="8">
        <v>0.11</v>
      </c>
      <c r="GE6" t="s">
        <v>151</v>
      </c>
      <c r="GF6" t="s">
        <v>110</v>
      </c>
      <c r="GG6" t="s">
        <v>114</v>
      </c>
      <c r="GH6" s="8">
        <v>0.36</v>
      </c>
      <c r="GJ6" t="s">
        <v>152</v>
      </c>
      <c r="GK6" t="s">
        <v>110</v>
      </c>
      <c r="GL6" t="s">
        <v>125</v>
      </c>
      <c r="GM6" s="8">
        <v>0.43</v>
      </c>
      <c r="GO6" t="s">
        <v>106</v>
      </c>
      <c r="GP6" t="s">
        <v>107</v>
      </c>
      <c r="GQ6" t="s">
        <v>108</v>
      </c>
      <c r="GR6" s="7">
        <v>0</v>
      </c>
      <c r="GT6" t="s">
        <v>153</v>
      </c>
      <c r="GU6" t="s">
        <v>116</v>
      </c>
      <c r="GV6" t="s">
        <v>108</v>
      </c>
      <c r="GW6" s="2">
        <v>2.97</v>
      </c>
    </row>
    <row r="7" spans="1:205" x14ac:dyDescent="0.25">
      <c r="A7" t="s">
        <v>154</v>
      </c>
      <c r="B7" t="s">
        <v>106</v>
      </c>
      <c r="C7" t="s">
        <v>107</v>
      </c>
      <c r="D7" t="s">
        <v>108</v>
      </c>
      <c r="E7" s="7">
        <v>0</v>
      </c>
      <c r="G7" t="s">
        <v>155</v>
      </c>
      <c r="H7" t="s">
        <v>127</v>
      </c>
      <c r="I7" t="s">
        <v>123</v>
      </c>
      <c r="J7" s="5">
        <v>-2.59</v>
      </c>
      <c r="L7" t="s">
        <v>156</v>
      </c>
      <c r="M7" t="s">
        <v>157</v>
      </c>
      <c r="N7" t="s">
        <v>111</v>
      </c>
      <c r="O7" s="6">
        <v>-0.74</v>
      </c>
      <c r="Q7" t="s">
        <v>158</v>
      </c>
      <c r="R7" t="s">
        <v>159</v>
      </c>
      <c r="S7" t="s">
        <v>108</v>
      </c>
      <c r="T7" s="8">
        <v>0.3</v>
      </c>
      <c r="V7" t="s">
        <v>160</v>
      </c>
      <c r="W7" t="s">
        <v>161</v>
      </c>
      <c r="X7" t="s">
        <v>145</v>
      </c>
      <c r="Y7" s="3">
        <v>1.43</v>
      </c>
      <c r="AA7" t="s">
        <v>106</v>
      </c>
      <c r="AB7" t="s">
        <v>107</v>
      </c>
      <c r="AC7" t="s">
        <v>108</v>
      </c>
      <c r="AD7" s="7">
        <v>0</v>
      </c>
      <c r="AF7" t="s">
        <v>162</v>
      </c>
      <c r="AG7" t="s">
        <v>122</v>
      </c>
      <c r="AH7" t="s">
        <v>111</v>
      </c>
      <c r="AI7" s="9">
        <v>-0.11</v>
      </c>
      <c r="AK7" t="s">
        <v>163</v>
      </c>
      <c r="AL7" t="s">
        <v>133</v>
      </c>
      <c r="AM7" t="s">
        <v>164</v>
      </c>
      <c r="AN7" s="6">
        <v>-0.65</v>
      </c>
      <c r="AP7" t="s">
        <v>165</v>
      </c>
      <c r="AQ7" t="s">
        <v>110</v>
      </c>
      <c r="AR7" t="s">
        <v>108</v>
      </c>
      <c r="AS7" s="1">
        <v>15.33</v>
      </c>
      <c r="AU7" t="s">
        <v>166</v>
      </c>
      <c r="AV7" t="s">
        <v>167</v>
      </c>
      <c r="AW7" t="s">
        <v>145</v>
      </c>
      <c r="AX7" s="3">
        <v>1.03</v>
      </c>
      <c r="AZ7" t="s">
        <v>106</v>
      </c>
      <c r="BA7" t="s">
        <v>107</v>
      </c>
      <c r="BB7" t="s">
        <v>108</v>
      </c>
      <c r="BC7" s="7">
        <v>0</v>
      </c>
      <c r="BE7" t="s">
        <v>168</v>
      </c>
      <c r="BF7" t="s">
        <v>169</v>
      </c>
      <c r="BG7" t="s">
        <v>170</v>
      </c>
      <c r="BH7" s="3">
        <v>0.6</v>
      </c>
      <c r="BJ7" t="s">
        <v>106</v>
      </c>
      <c r="BK7" t="s">
        <v>107</v>
      </c>
      <c r="BL7" t="s">
        <v>108</v>
      </c>
      <c r="BM7" s="7">
        <v>0</v>
      </c>
      <c r="BO7" t="s">
        <v>106</v>
      </c>
      <c r="BP7" t="s">
        <v>107</v>
      </c>
      <c r="BQ7" t="s">
        <v>108</v>
      </c>
      <c r="BR7" s="7">
        <v>0</v>
      </c>
      <c r="BT7" t="s">
        <v>106</v>
      </c>
      <c r="BU7" t="s">
        <v>107</v>
      </c>
      <c r="BV7" t="s">
        <v>108</v>
      </c>
      <c r="BW7" s="7">
        <v>0</v>
      </c>
      <c r="BY7" t="s">
        <v>171</v>
      </c>
      <c r="BZ7" t="s">
        <v>150</v>
      </c>
      <c r="CA7" t="s">
        <v>147</v>
      </c>
      <c r="CB7" s="6">
        <v>-1.35</v>
      </c>
      <c r="CD7" t="s">
        <v>106</v>
      </c>
      <c r="CE7" t="s">
        <v>107</v>
      </c>
      <c r="CF7" t="s">
        <v>108</v>
      </c>
      <c r="CG7" s="7">
        <v>0</v>
      </c>
      <c r="CI7" t="s">
        <v>106</v>
      </c>
      <c r="CJ7" t="s">
        <v>107</v>
      </c>
      <c r="CK7" t="s">
        <v>108</v>
      </c>
      <c r="CL7" s="7">
        <v>0</v>
      </c>
      <c r="CN7" t="s">
        <v>152</v>
      </c>
      <c r="CO7" t="s">
        <v>172</v>
      </c>
      <c r="CP7" t="s">
        <v>140</v>
      </c>
      <c r="CQ7" s="3">
        <v>1.55</v>
      </c>
      <c r="CS7" t="s">
        <v>120</v>
      </c>
      <c r="CT7" t="s">
        <v>110</v>
      </c>
      <c r="CU7" t="s">
        <v>111</v>
      </c>
      <c r="CV7" s="3">
        <v>0.92</v>
      </c>
      <c r="CX7" t="s">
        <v>106</v>
      </c>
      <c r="CY7" t="s">
        <v>107</v>
      </c>
      <c r="CZ7" t="s">
        <v>108</v>
      </c>
      <c r="DA7" s="7">
        <v>0</v>
      </c>
      <c r="DC7" t="s">
        <v>173</v>
      </c>
      <c r="DD7" t="s">
        <v>174</v>
      </c>
      <c r="DE7" t="s">
        <v>175</v>
      </c>
      <c r="DF7" s="6">
        <v>-0.83</v>
      </c>
      <c r="DH7" t="s">
        <v>176</v>
      </c>
      <c r="DI7" t="s">
        <v>150</v>
      </c>
      <c r="DJ7" t="s">
        <v>136</v>
      </c>
      <c r="DK7" s="9">
        <v>-0.1</v>
      </c>
      <c r="DM7" t="s">
        <v>177</v>
      </c>
      <c r="DN7" t="s">
        <v>157</v>
      </c>
      <c r="DO7" t="s">
        <v>178</v>
      </c>
      <c r="DP7" s="9">
        <v>-0.48</v>
      </c>
      <c r="DR7" t="s">
        <v>106</v>
      </c>
      <c r="DS7" t="s">
        <v>107</v>
      </c>
      <c r="DT7" t="s">
        <v>108</v>
      </c>
      <c r="DU7" s="7">
        <v>0</v>
      </c>
      <c r="DW7" t="s">
        <v>179</v>
      </c>
      <c r="DX7" t="s">
        <v>110</v>
      </c>
      <c r="DY7" t="s">
        <v>114</v>
      </c>
      <c r="DZ7" s="8">
        <v>0.18</v>
      </c>
      <c r="EB7" t="s">
        <v>180</v>
      </c>
      <c r="EC7" t="s">
        <v>157</v>
      </c>
      <c r="ED7" t="s">
        <v>123</v>
      </c>
      <c r="EE7" s="5">
        <v>-4.84</v>
      </c>
      <c r="EG7" t="s">
        <v>106</v>
      </c>
      <c r="EH7" t="s">
        <v>107</v>
      </c>
      <c r="EI7" t="s">
        <v>108</v>
      </c>
      <c r="EJ7" s="7">
        <v>0</v>
      </c>
      <c r="EL7" t="s">
        <v>106</v>
      </c>
      <c r="EM7" t="s">
        <v>107</v>
      </c>
      <c r="EN7" t="s">
        <v>108</v>
      </c>
      <c r="EO7" s="7">
        <v>0</v>
      </c>
      <c r="EQ7" t="s">
        <v>181</v>
      </c>
      <c r="ER7" t="s">
        <v>133</v>
      </c>
      <c r="ES7" t="s">
        <v>119</v>
      </c>
      <c r="ET7" s="3">
        <v>0.89</v>
      </c>
      <c r="EV7" t="s">
        <v>106</v>
      </c>
      <c r="EW7" t="s">
        <v>107</v>
      </c>
      <c r="EX7" t="s">
        <v>108</v>
      </c>
      <c r="EY7" s="7">
        <v>0</v>
      </c>
      <c r="FA7" t="s">
        <v>182</v>
      </c>
      <c r="FB7" t="s">
        <v>150</v>
      </c>
      <c r="FC7" t="s">
        <v>136</v>
      </c>
      <c r="FD7" s="9">
        <v>-0.18</v>
      </c>
      <c r="FF7" t="s">
        <v>106</v>
      </c>
      <c r="FG7" t="s">
        <v>107</v>
      </c>
      <c r="FH7" t="s">
        <v>108</v>
      </c>
      <c r="FI7" s="7">
        <v>0</v>
      </c>
      <c r="FK7" t="s">
        <v>158</v>
      </c>
      <c r="FL7" t="s">
        <v>183</v>
      </c>
      <c r="FM7" t="s">
        <v>134</v>
      </c>
      <c r="FN7" s="9">
        <v>-0.41</v>
      </c>
      <c r="FP7" t="s">
        <v>106</v>
      </c>
      <c r="FQ7" t="s">
        <v>107</v>
      </c>
      <c r="FR7" t="s">
        <v>108</v>
      </c>
      <c r="FS7" s="7">
        <v>0</v>
      </c>
      <c r="FU7" s="14" t="s">
        <v>118</v>
      </c>
      <c r="FV7" t="s">
        <v>122</v>
      </c>
      <c r="FW7" t="s">
        <v>142</v>
      </c>
      <c r="FX7" s="8">
        <v>0.43</v>
      </c>
      <c r="FZ7" t="s">
        <v>163</v>
      </c>
      <c r="GA7" t="s">
        <v>139</v>
      </c>
      <c r="GB7" t="s">
        <v>114</v>
      </c>
      <c r="GC7" s="9">
        <v>-0.37</v>
      </c>
      <c r="GE7" t="s">
        <v>163</v>
      </c>
      <c r="GF7" t="s">
        <v>133</v>
      </c>
      <c r="GG7" t="s">
        <v>136</v>
      </c>
      <c r="GH7" s="9">
        <v>-0.3</v>
      </c>
      <c r="GJ7" t="s">
        <v>106</v>
      </c>
      <c r="GK7" t="s">
        <v>107</v>
      </c>
      <c r="GL7" t="s">
        <v>108</v>
      </c>
      <c r="GM7" s="7">
        <v>0</v>
      </c>
      <c r="GO7" t="s">
        <v>106</v>
      </c>
      <c r="GP7" t="s">
        <v>107</v>
      </c>
      <c r="GQ7" t="s">
        <v>108</v>
      </c>
      <c r="GR7" s="7">
        <v>0</v>
      </c>
      <c r="GT7" t="s">
        <v>184</v>
      </c>
      <c r="GU7" t="s">
        <v>185</v>
      </c>
      <c r="GV7" t="s">
        <v>136</v>
      </c>
      <c r="GW7" s="6">
        <v>-0.67</v>
      </c>
    </row>
    <row r="8" spans="1:205" x14ac:dyDescent="0.25">
      <c r="A8" t="s">
        <v>186</v>
      </c>
      <c r="B8" t="s">
        <v>106</v>
      </c>
      <c r="C8" t="s">
        <v>107</v>
      </c>
      <c r="D8" t="s">
        <v>108</v>
      </c>
      <c r="E8" s="7">
        <v>0</v>
      </c>
      <c r="G8" t="s">
        <v>152</v>
      </c>
      <c r="H8" t="s">
        <v>174</v>
      </c>
      <c r="I8" t="s">
        <v>136</v>
      </c>
      <c r="J8" s="3">
        <v>0.64</v>
      </c>
      <c r="L8" t="s">
        <v>115</v>
      </c>
      <c r="M8" t="s">
        <v>187</v>
      </c>
      <c r="N8" t="s">
        <v>170</v>
      </c>
      <c r="O8" s="8">
        <v>0.41</v>
      </c>
      <c r="Q8" t="s">
        <v>149</v>
      </c>
      <c r="R8" t="s">
        <v>188</v>
      </c>
      <c r="S8" t="s">
        <v>114</v>
      </c>
      <c r="T8" s="3">
        <v>1.26</v>
      </c>
      <c r="V8" t="s">
        <v>124</v>
      </c>
      <c r="W8" t="s">
        <v>110</v>
      </c>
      <c r="X8" t="s">
        <v>131</v>
      </c>
      <c r="Y8" s="8">
        <v>0.34</v>
      </c>
      <c r="AA8" t="s">
        <v>106</v>
      </c>
      <c r="AB8" t="s">
        <v>107</v>
      </c>
      <c r="AC8" t="s">
        <v>108</v>
      </c>
      <c r="AD8" s="7">
        <v>0</v>
      </c>
      <c r="AF8" t="s">
        <v>189</v>
      </c>
      <c r="AG8" t="s">
        <v>113</v>
      </c>
      <c r="AH8" t="s">
        <v>125</v>
      </c>
      <c r="AI8" s="8">
        <v>0.21</v>
      </c>
      <c r="AK8" t="s">
        <v>124</v>
      </c>
      <c r="AL8" t="s">
        <v>110</v>
      </c>
      <c r="AM8" t="s">
        <v>119</v>
      </c>
      <c r="AN8" s="3">
        <v>0.5</v>
      </c>
      <c r="AP8" t="s">
        <v>118</v>
      </c>
      <c r="AQ8" t="s">
        <v>127</v>
      </c>
      <c r="AR8" t="s">
        <v>111</v>
      </c>
      <c r="AS8" s="8">
        <v>0.4</v>
      </c>
      <c r="AU8" t="s">
        <v>189</v>
      </c>
      <c r="AV8" t="s">
        <v>110</v>
      </c>
      <c r="AW8" t="s">
        <v>140</v>
      </c>
      <c r="AX8" s="8">
        <v>0.08</v>
      </c>
      <c r="AZ8" t="s">
        <v>190</v>
      </c>
      <c r="BA8" t="s">
        <v>191</v>
      </c>
      <c r="BB8" t="s">
        <v>111</v>
      </c>
      <c r="BC8" s="3">
        <v>0.82</v>
      </c>
      <c r="BE8" t="s">
        <v>192</v>
      </c>
      <c r="BF8" t="s">
        <v>193</v>
      </c>
      <c r="BG8" t="s">
        <v>175</v>
      </c>
      <c r="BH8" s="3">
        <v>0.85</v>
      </c>
      <c r="BJ8" t="s">
        <v>179</v>
      </c>
      <c r="BK8" t="s">
        <v>130</v>
      </c>
      <c r="BL8" t="s">
        <v>131</v>
      </c>
      <c r="BM8" s="8">
        <v>0.38</v>
      </c>
      <c r="BO8" t="s">
        <v>106</v>
      </c>
      <c r="BP8" t="s">
        <v>107</v>
      </c>
      <c r="BQ8" t="s">
        <v>108</v>
      </c>
      <c r="BR8" s="7">
        <v>0</v>
      </c>
      <c r="BT8" t="s">
        <v>106</v>
      </c>
      <c r="BU8" t="s">
        <v>107</v>
      </c>
      <c r="BV8" t="s">
        <v>108</v>
      </c>
      <c r="BW8" s="7">
        <v>0</v>
      </c>
      <c r="BY8" t="s">
        <v>194</v>
      </c>
      <c r="BZ8" t="s">
        <v>139</v>
      </c>
      <c r="CA8" t="s">
        <v>170</v>
      </c>
      <c r="CB8" s="8">
        <v>0.24</v>
      </c>
      <c r="CD8" t="s">
        <v>195</v>
      </c>
      <c r="CE8" t="s">
        <v>196</v>
      </c>
      <c r="CF8" t="s">
        <v>197</v>
      </c>
      <c r="CG8" s="3">
        <v>0.71</v>
      </c>
      <c r="CI8" t="s">
        <v>106</v>
      </c>
      <c r="CJ8" t="s">
        <v>107</v>
      </c>
      <c r="CK8" t="s">
        <v>108</v>
      </c>
      <c r="CL8" s="7">
        <v>0</v>
      </c>
      <c r="CN8" t="s">
        <v>198</v>
      </c>
      <c r="CO8" t="s">
        <v>199</v>
      </c>
      <c r="CP8" t="s">
        <v>119</v>
      </c>
      <c r="CQ8" s="2">
        <v>3.36</v>
      </c>
      <c r="CS8" t="s">
        <v>200</v>
      </c>
      <c r="CT8" t="s">
        <v>110</v>
      </c>
      <c r="CU8" t="s">
        <v>136</v>
      </c>
      <c r="CV8" s="8">
        <v>0.4</v>
      </c>
      <c r="CX8" t="s">
        <v>201</v>
      </c>
      <c r="CY8" t="s">
        <v>110</v>
      </c>
      <c r="CZ8" t="s">
        <v>140</v>
      </c>
      <c r="DA8" s="8">
        <v>0.06</v>
      </c>
      <c r="DC8" t="s">
        <v>115</v>
      </c>
      <c r="DD8" t="s">
        <v>202</v>
      </c>
      <c r="DE8" t="s">
        <v>131</v>
      </c>
      <c r="DF8" s="8">
        <v>0.01</v>
      </c>
      <c r="DH8" t="s">
        <v>203</v>
      </c>
      <c r="DI8" t="s">
        <v>110</v>
      </c>
      <c r="DJ8" t="s">
        <v>178</v>
      </c>
      <c r="DK8" s="9">
        <v>-0.33</v>
      </c>
      <c r="DM8" t="s">
        <v>115</v>
      </c>
      <c r="DN8" t="s">
        <v>122</v>
      </c>
      <c r="DO8" t="s">
        <v>170</v>
      </c>
      <c r="DP8" s="3">
        <v>0.66</v>
      </c>
      <c r="DR8" t="s">
        <v>204</v>
      </c>
      <c r="DS8" t="s">
        <v>196</v>
      </c>
      <c r="DT8" t="s">
        <v>117</v>
      </c>
      <c r="DU8" s="5">
        <v>-4.28</v>
      </c>
      <c r="DW8" t="s">
        <v>160</v>
      </c>
      <c r="DX8" t="s">
        <v>133</v>
      </c>
      <c r="DY8" t="s">
        <v>140</v>
      </c>
      <c r="DZ8" s="8">
        <v>0.24</v>
      </c>
      <c r="EB8" t="s">
        <v>106</v>
      </c>
      <c r="EC8" t="s">
        <v>107</v>
      </c>
      <c r="ED8" t="s">
        <v>108</v>
      </c>
      <c r="EE8" s="7">
        <v>0</v>
      </c>
      <c r="EG8" t="s">
        <v>177</v>
      </c>
      <c r="EH8" t="s">
        <v>205</v>
      </c>
      <c r="EI8" t="s">
        <v>140</v>
      </c>
      <c r="EJ8" s="9">
        <v>-0.46</v>
      </c>
      <c r="EL8" t="s">
        <v>206</v>
      </c>
      <c r="EM8" t="s">
        <v>196</v>
      </c>
      <c r="EN8" t="s">
        <v>145</v>
      </c>
      <c r="EO8" s="8">
        <v>0.36</v>
      </c>
      <c r="EQ8" t="s">
        <v>207</v>
      </c>
      <c r="ER8" t="s">
        <v>208</v>
      </c>
      <c r="ES8" t="s">
        <v>140</v>
      </c>
      <c r="ET8" s="3">
        <v>1.26</v>
      </c>
      <c r="EV8" t="s">
        <v>129</v>
      </c>
      <c r="EW8" t="s">
        <v>209</v>
      </c>
      <c r="EX8" t="s">
        <v>170</v>
      </c>
      <c r="EY8" s="8">
        <v>0.41</v>
      </c>
      <c r="FA8" t="s">
        <v>210</v>
      </c>
      <c r="FB8" t="s">
        <v>110</v>
      </c>
      <c r="FC8" t="s">
        <v>134</v>
      </c>
      <c r="FD8" s="3">
        <v>0.81</v>
      </c>
      <c r="FF8" t="s">
        <v>106</v>
      </c>
      <c r="FG8" t="s">
        <v>107</v>
      </c>
      <c r="FH8" t="s">
        <v>108</v>
      </c>
      <c r="FI8" s="7">
        <v>0</v>
      </c>
      <c r="FK8" t="s">
        <v>211</v>
      </c>
      <c r="FL8" t="s">
        <v>139</v>
      </c>
      <c r="FM8" t="s">
        <v>170</v>
      </c>
      <c r="FN8" s="3">
        <v>0.54</v>
      </c>
      <c r="FP8" t="s">
        <v>212</v>
      </c>
      <c r="FQ8" t="s">
        <v>113</v>
      </c>
      <c r="FR8" t="s">
        <v>117</v>
      </c>
      <c r="FS8" s="3">
        <v>0.89</v>
      </c>
      <c r="FU8" s="14" t="s">
        <v>200</v>
      </c>
      <c r="FV8" t="s">
        <v>110</v>
      </c>
      <c r="FW8" t="s">
        <v>111</v>
      </c>
      <c r="FX8" s="8">
        <v>0.42</v>
      </c>
      <c r="FZ8" t="s">
        <v>213</v>
      </c>
      <c r="GA8" t="s">
        <v>122</v>
      </c>
      <c r="GB8" t="s">
        <v>123</v>
      </c>
      <c r="GC8" s="9">
        <v>-0.31</v>
      </c>
      <c r="GE8" t="s">
        <v>200</v>
      </c>
      <c r="GF8" t="s">
        <v>139</v>
      </c>
      <c r="GG8" t="s">
        <v>117</v>
      </c>
      <c r="GH8" s="3">
        <v>0.53</v>
      </c>
      <c r="GJ8" t="s">
        <v>190</v>
      </c>
      <c r="GK8" t="s">
        <v>150</v>
      </c>
      <c r="GL8" t="s">
        <v>140</v>
      </c>
      <c r="GM8" s="3">
        <v>0.72</v>
      </c>
      <c r="GO8" t="s">
        <v>106</v>
      </c>
      <c r="GP8" t="s">
        <v>107</v>
      </c>
      <c r="GQ8" t="s">
        <v>108</v>
      </c>
      <c r="GR8" s="7">
        <v>0</v>
      </c>
      <c r="GT8" t="s">
        <v>181</v>
      </c>
      <c r="GU8" t="s">
        <v>214</v>
      </c>
      <c r="GV8" t="s">
        <v>145</v>
      </c>
      <c r="GW8" s="3">
        <v>1.33</v>
      </c>
    </row>
    <row r="9" spans="1:205" x14ac:dyDescent="0.25">
      <c r="A9" t="s">
        <v>215</v>
      </c>
      <c r="B9" t="s">
        <v>106</v>
      </c>
      <c r="C9" t="s">
        <v>107</v>
      </c>
      <c r="D9" t="s">
        <v>108</v>
      </c>
      <c r="E9" s="7">
        <v>0</v>
      </c>
      <c r="G9" t="s">
        <v>115</v>
      </c>
      <c r="H9" t="s">
        <v>150</v>
      </c>
      <c r="I9" t="s">
        <v>142</v>
      </c>
      <c r="J9" s="3">
        <v>0.69</v>
      </c>
      <c r="L9" t="s">
        <v>216</v>
      </c>
      <c r="M9" t="s">
        <v>185</v>
      </c>
      <c r="N9" t="s">
        <v>145</v>
      </c>
      <c r="O9" s="8">
        <v>7.0000000000000007E-2</v>
      </c>
      <c r="Q9" t="s">
        <v>132</v>
      </c>
      <c r="R9" t="s">
        <v>217</v>
      </c>
      <c r="S9" t="s">
        <v>140</v>
      </c>
      <c r="T9" s="3">
        <v>0.75</v>
      </c>
      <c r="V9" t="s">
        <v>106</v>
      </c>
      <c r="W9" t="s">
        <v>107</v>
      </c>
      <c r="X9" t="s">
        <v>108</v>
      </c>
      <c r="Y9" s="7">
        <v>0</v>
      </c>
      <c r="AA9" t="s">
        <v>218</v>
      </c>
      <c r="AB9" t="s">
        <v>196</v>
      </c>
      <c r="AC9" t="s">
        <v>178</v>
      </c>
      <c r="AD9" s="8">
        <v>0</v>
      </c>
      <c r="AF9" t="s">
        <v>106</v>
      </c>
      <c r="AG9" t="s">
        <v>107</v>
      </c>
      <c r="AH9" t="s">
        <v>108</v>
      </c>
      <c r="AI9" s="7">
        <v>0</v>
      </c>
      <c r="AK9" t="s">
        <v>106</v>
      </c>
      <c r="AL9" t="s">
        <v>107</v>
      </c>
      <c r="AM9" t="s">
        <v>108</v>
      </c>
      <c r="AN9" s="7">
        <v>0</v>
      </c>
      <c r="AP9" t="s">
        <v>106</v>
      </c>
      <c r="AQ9" t="s">
        <v>107</v>
      </c>
      <c r="AR9" t="s">
        <v>108</v>
      </c>
      <c r="AS9" s="7">
        <v>0</v>
      </c>
      <c r="AU9" t="s">
        <v>106</v>
      </c>
      <c r="AV9" t="s">
        <v>107</v>
      </c>
      <c r="AW9" t="s">
        <v>108</v>
      </c>
      <c r="AX9" s="7">
        <v>0</v>
      </c>
      <c r="AZ9" t="s">
        <v>106</v>
      </c>
      <c r="BA9" t="s">
        <v>107</v>
      </c>
      <c r="BB9" t="s">
        <v>108</v>
      </c>
      <c r="BC9" s="7">
        <v>0</v>
      </c>
      <c r="BE9" t="s">
        <v>115</v>
      </c>
      <c r="BF9" t="s">
        <v>219</v>
      </c>
      <c r="BG9" t="s">
        <v>170</v>
      </c>
      <c r="BH9" s="3">
        <v>1.62</v>
      </c>
      <c r="BJ9" t="s">
        <v>220</v>
      </c>
      <c r="BK9" t="s">
        <v>209</v>
      </c>
      <c r="BL9" t="s">
        <v>117</v>
      </c>
      <c r="BM9" s="3">
        <v>0.53</v>
      </c>
      <c r="BO9" t="s">
        <v>106</v>
      </c>
      <c r="BP9" t="s">
        <v>107</v>
      </c>
      <c r="BQ9" t="s">
        <v>108</v>
      </c>
      <c r="BR9" s="7">
        <v>0</v>
      </c>
      <c r="BT9" t="s">
        <v>106</v>
      </c>
      <c r="BU9" t="s">
        <v>107</v>
      </c>
      <c r="BV9" t="s">
        <v>108</v>
      </c>
      <c r="BW9" s="7">
        <v>0</v>
      </c>
      <c r="BY9" t="s">
        <v>106</v>
      </c>
      <c r="BZ9" t="s">
        <v>107</v>
      </c>
      <c r="CA9" t="s">
        <v>108</v>
      </c>
      <c r="CB9" s="7">
        <v>0</v>
      </c>
      <c r="CD9" t="s">
        <v>212</v>
      </c>
      <c r="CE9" t="s">
        <v>127</v>
      </c>
      <c r="CF9" t="s">
        <v>147</v>
      </c>
      <c r="CG9" s="3">
        <v>0.63</v>
      </c>
      <c r="CI9" t="s">
        <v>106</v>
      </c>
      <c r="CJ9" t="s">
        <v>107</v>
      </c>
      <c r="CK9" t="s">
        <v>108</v>
      </c>
      <c r="CL9" s="7">
        <v>0</v>
      </c>
      <c r="CN9" t="s">
        <v>106</v>
      </c>
      <c r="CO9" t="s">
        <v>221</v>
      </c>
      <c r="CP9" t="s">
        <v>125</v>
      </c>
      <c r="CQ9" s="2">
        <v>2.33</v>
      </c>
      <c r="CS9" t="s">
        <v>106</v>
      </c>
      <c r="CT9" t="s">
        <v>107</v>
      </c>
      <c r="CU9" t="s">
        <v>108</v>
      </c>
      <c r="CV9" s="7">
        <v>0</v>
      </c>
      <c r="CX9" t="s">
        <v>106</v>
      </c>
      <c r="CY9" t="s">
        <v>107</v>
      </c>
      <c r="CZ9" t="s">
        <v>108</v>
      </c>
      <c r="DA9" s="7">
        <v>0</v>
      </c>
      <c r="DC9" t="s">
        <v>222</v>
      </c>
      <c r="DD9" t="s">
        <v>157</v>
      </c>
      <c r="DE9" t="s">
        <v>134</v>
      </c>
      <c r="DF9" s="8">
        <v>0</v>
      </c>
      <c r="DH9" t="s">
        <v>163</v>
      </c>
      <c r="DI9" t="s">
        <v>223</v>
      </c>
      <c r="DJ9" t="s">
        <v>125</v>
      </c>
      <c r="DK9" s="8">
        <v>0</v>
      </c>
      <c r="DM9" t="s">
        <v>224</v>
      </c>
      <c r="DN9" t="s">
        <v>187</v>
      </c>
      <c r="DO9" t="s">
        <v>140</v>
      </c>
      <c r="DP9" s="8">
        <v>0.25</v>
      </c>
      <c r="DR9" t="s">
        <v>129</v>
      </c>
      <c r="DS9" t="s">
        <v>185</v>
      </c>
      <c r="DT9" t="s">
        <v>125</v>
      </c>
      <c r="DU9" s="3">
        <v>0.53</v>
      </c>
      <c r="DW9" t="s">
        <v>106</v>
      </c>
      <c r="DX9" t="s">
        <v>107</v>
      </c>
      <c r="DY9" t="s">
        <v>108</v>
      </c>
      <c r="DZ9" s="7">
        <v>0</v>
      </c>
      <c r="EB9" t="s">
        <v>106</v>
      </c>
      <c r="EC9" t="s">
        <v>107</v>
      </c>
      <c r="ED9" t="s">
        <v>108</v>
      </c>
      <c r="EE9" s="7">
        <v>0</v>
      </c>
      <c r="EG9" t="s">
        <v>121</v>
      </c>
      <c r="EH9" t="s">
        <v>225</v>
      </c>
      <c r="EI9" t="s">
        <v>111</v>
      </c>
      <c r="EJ9" s="8">
        <v>0.01</v>
      </c>
      <c r="EL9" t="s">
        <v>179</v>
      </c>
      <c r="EM9" t="s">
        <v>185</v>
      </c>
      <c r="EN9" t="s">
        <v>145</v>
      </c>
      <c r="EO9" s="8">
        <v>0.14000000000000001</v>
      </c>
      <c r="EQ9" t="s">
        <v>226</v>
      </c>
      <c r="ER9" t="s">
        <v>110</v>
      </c>
      <c r="ES9" t="s">
        <v>147</v>
      </c>
      <c r="ET9" s="3">
        <v>1</v>
      </c>
      <c r="EV9" t="s">
        <v>106</v>
      </c>
      <c r="EW9" t="s">
        <v>107</v>
      </c>
      <c r="EX9" t="s">
        <v>108</v>
      </c>
      <c r="EY9" s="7">
        <v>0</v>
      </c>
      <c r="FA9" t="s">
        <v>106</v>
      </c>
      <c r="FB9" t="s">
        <v>107</v>
      </c>
      <c r="FC9" t="s">
        <v>108</v>
      </c>
      <c r="FD9" s="7">
        <v>0</v>
      </c>
      <c r="FF9" t="s">
        <v>106</v>
      </c>
      <c r="FG9" t="s">
        <v>107</v>
      </c>
      <c r="FH9" t="s">
        <v>108</v>
      </c>
      <c r="FI9" s="7">
        <v>0</v>
      </c>
      <c r="FK9" t="s">
        <v>106</v>
      </c>
      <c r="FL9" t="s">
        <v>209</v>
      </c>
      <c r="FM9" t="s">
        <v>111</v>
      </c>
      <c r="FN9" s="8">
        <v>0.48</v>
      </c>
      <c r="FP9" t="s">
        <v>220</v>
      </c>
      <c r="FQ9" t="s">
        <v>187</v>
      </c>
      <c r="FR9" t="s">
        <v>140</v>
      </c>
      <c r="FS9" s="8">
        <v>0.47</v>
      </c>
      <c r="FU9" s="14" t="s">
        <v>106</v>
      </c>
      <c r="FV9" t="s">
        <v>107</v>
      </c>
      <c r="FW9" t="s">
        <v>108</v>
      </c>
      <c r="FX9" s="7">
        <v>0</v>
      </c>
      <c r="FZ9" t="s">
        <v>106</v>
      </c>
      <c r="GA9" t="s">
        <v>107</v>
      </c>
      <c r="GB9" t="s">
        <v>108</v>
      </c>
      <c r="GC9" s="7">
        <v>0</v>
      </c>
      <c r="GE9" t="s">
        <v>106</v>
      </c>
      <c r="GF9" t="s">
        <v>107</v>
      </c>
      <c r="GG9" t="s">
        <v>108</v>
      </c>
      <c r="GH9" s="7">
        <v>0</v>
      </c>
      <c r="GJ9" t="s">
        <v>132</v>
      </c>
      <c r="GK9" t="s">
        <v>174</v>
      </c>
      <c r="GL9" t="s">
        <v>108</v>
      </c>
      <c r="GM9" s="3">
        <v>0.56000000000000005</v>
      </c>
      <c r="GO9" t="s">
        <v>106</v>
      </c>
      <c r="GP9" t="s">
        <v>107</v>
      </c>
      <c r="GQ9" t="s">
        <v>108</v>
      </c>
      <c r="GR9" s="7">
        <v>0</v>
      </c>
      <c r="GT9" t="s">
        <v>207</v>
      </c>
      <c r="GU9" t="s">
        <v>217</v>
      </c>
      <c r="GV9" t="s">
        <v>170</v>
      </c>
      <c r="GW9" s="3">
        <v>1.03</v>
      </c>
    </row>
    <row r="10" spans="1:205" x14ac:dyDescent="0.25">
      <c r="A10" t="s">
        <v>227</v>
      </c>
      <c r="B10" t="s">
        <v>106</v>
      </c>
      <c r="C10" t="s">
        <v>107</v>
      </c>
      <c r="D10" t="s">
        <v>108</v>
      </c>
      <c r="E10" s="7">
        <v>0</v>
      </c>
      <c r="G10" t="s">
        <v>228</v>
      </c>
      <c r="H10" t="s">
        <v>122</v>
      </c>
      <c r="I10" t="s">
        <v>111</v>
      </c>
      <c r="J10" s="3">
        <v>1.1499999999999999</v>
      </c>
      <c r="L10" t="s">
        <v>151</v>
      </c>
      <c r="M10" t="s">
        <v>229</v>
      </c>
      <c r="N10" t="s">
        <v>147</v>
      </c>
      <c r="O10" s="8">
        <v>0.06</v>
      </c>
      <c r="Q10" t="s">
        <v>195</v>
      </c>
      <c r="R10" t="s">
        <v>127</v>
      </c>
      <c r="S10" t="s">
        <v>136</v>
      </c>
      <c r="T10" s="3">
        <v>0.62</v>
      </c>
      <c r="V10" t="s">
        <v>106</v>
      </c>
      <c r="W10" t="s">
        <v>107</v>
      </c>
      <c r="X10" t="s">
        <v>108</v>
      </c>
      <c r="Y10" s="7">
        <v>0</v>
      </c>
      <c r="AA10" t="s">
        <v>230</v>
      </c>
      <c r="AB10" t="s">
        <v>205</v>
      </c>
      <c r="AC10" t="s">
        <v>145</v>
      </c>
      <c r="AD10" s="5">
        <v>-3.12</v>
      </c>
      <c r="AF10" t="s">
        <v>231</v>
      </c>
      <c r="AG10" t="s">
        <v>196</v>
      </c>
      <c r="AH10" t="s">
        <v>125</v>
      </c>
      <c r="AI10" s="8">
        <v>0.21</v>
      </c>
      <c r="AK10" t="s">
        <v>106</v>
      </c>
      <c r="AL10" t="s">
        <v>107</v>
      </c>
      <c r="AM10" t="s">
        <v>108</v>
      </c>
      <c r="AN10" s="7">
        <v>0</v>
      </c>
      <c r="AP10" t="s">
        <v>232</v>
      </c>
      <c r="AQ10" t="s">
        <v>233</v>
      </c>
      <c r="AR10" t="s">
        <v>114</v>
      </c>
      <c r="AS10" s="8">
        <v>0.15</v>
      </c>
      <c r="AU10" t="s">
        <v>232</v>
      </c>
      <c r="AV10" t="s">
        <v>234</v>
      </c>
      <c r="AW10" t="s">
        <v>111</v>
      </c>
      <c r="AX10" s="3">
        <v>1.33</v>
      </c>
      <c r="AZ10" t="s">
        <v>106</v>
      </c>
      <c r="BA10" t="s">
        <v>107</v>
      </c>
      <c r="BB10" t="s">
        <v>108</v>
      </c>
      <c r="BC10" s="7">
        <v>0</v>
      </c>
      <c r="BE10" t="s">
        <v>195</v>
      </c>
      <c r="BF10" t="s">
        <v>235</v>
      </c>
      <c r="BG10" t="s">
        <v>125</v>
      </c>
      <c r="BH10" s="3">
        <v>0.78</v>
      </c>
      <c r="BJ10" t="s">
        <v>151</v>
      </c>
      <c r="BK10" t="s">
        <v>139</v>
      </c>
      <c r="BL10" t="s">
        <v>140</v>
      </c>
      <c r="BM10" s="3">
        <v>0.51</v>
      </c>
      <c r="BO10" t="s">
        <v>106</v>
      </c>
      <c r="BP10" t="s">
        <v>107</v>
      </c>
      <c r="BQ10" t="s">
        <v>108</v>
      </c>
      <c r="BR10" s="7">
        <v>0</v>
      </c>
      <c r="BT10" t="s">
        <v>236</v>
      </c>
      <c r="BU10" t="s">
        <v>139</v>
      </c>
      <c r="BV10" t="s">
        <v>114</v>
      </c>
      <c r="BW10" s="5">
        <v>-2.2400000000000002</v>
      </c>
      <c r="BY10" t="s">
        <v>152</v>
      </c>
      <c r="BZ10" t="s">
        <v>183</v>
      </c>
      <c r="CA10" t="s">
        <v>125</v>
      </c>
      <c r="CB10" s="3">
        <v>0.57999999999999996</v>
      </c>
      <c r="CD10" t="s">
        <v>151</v>
      </c>
      <c r="CE10" t="s">
        <v>110</v>
      </c>
      <c r="CF10" t="s">
        <v>114</v>
      </c>
      <c r="CG10" s="8">
        <v>0.36</v>
      </c>
      <c r="CI10" t="s">
        <v>106</v>
      </c>
      <c r="CJ10" t="s">
        <v>107</v>
      </c>
      <c r="CK10" t="s">
        <v>108</v>
      </c>
      <c r="CL10" s="7">
        <v>0</v>
      </c>
      <c r="CN10" t="s">
        <v>198</v>
      </c>
      <c r="CO10" t="s">
        <v>235</v>
      </c>
      <c r="CP10" t="s">
        <v>136</v>
      </c>
      <c r="CQ10" s="3">
        <v>1.95</v>
      </c>
      <c r="CS10" t="s">
        <v>106</v>
      </c>
      <c r="CT10" t="s">
        <v>107</v>
      </c>
      <c r="CU10" t="s">
        <v>108</v>
      </c>
      <c r="CV10" s="7">
        <v>0</v>
      </c>
      <c r="CX10" t="s">
        <v>222</v>
      </c>
      <c r="CY10" t="s">
        <v>110</v>
      </c>
      <c r="CZ10" t="s">
        <v>178</v>
      </c>
      <c r="DA10" s="8">
        <v>0.12</v>
      </c>
      <c r="DC10" t="s">
        <v>106</v>
      </c>
      <c r="DD10" t="s">
        <v>107</v>
      </c>
      <c r="DE10" t="s">
        <v>108</v>
      </c>
      <c r="DF10" s="7">
        <v>0</v>
      </c>
      <c r="DH10" t="s">
        <v>237</v>
      </c>
      <c r="DI10" t="s">
        <v>185</v>
      </c>
      <c r="DJ10" t="s">
        <v>131</v>
      </c>
      <c r="DK10" s="6">
        <v>-1.42</v>
      </c>
      <c r="DM10" t="s">
        <v>138</v>
      </c>
      <c r="DN10" t="s">
        <v>238</v>
      </c>
      <c r="DO10" t="s">
        <v>145</v>
      </c>
      <c r="DP10" s="8">
        <v>0.46</v>
      </c>
      <c r="DR10" t="s">
        <v>106</v>
      </c>
      <c r="DS10" t="s">
        <v>107</v>
      </c>
      <c r="DT10" t="s">
        <v>108</v>
      </c>
      <c r="DU10" s="7">
        <v>0</v>
      </c>
      <c r="DW10" t="s">
        <v>222</v>
      </c>
      <c r="DX10" t="s">
        <v>174</v>
      </c>
      <c r="DY10" t="s">
        <v>114</v>
      </c>
      <c r="DZ10" s="8">
        <v>0.22</v>
      </c>
      <c r="EB10" t="s">
        <v>106</v>
      </c>
      <c r="EC10" t="s">
        <v>107</v>
      </c>
      <c r="ED10" t="s">
        <v>108</v>
      </c>
      <c r="EE10" s="7">
        <v>0</v>
      </c>
      <c r="EG10" t="s">
        <v>106</v>
      </c>
      <c r="EH10" t="s">
        <v>107</v>
      </c>
      <c r="EI10" t="s">
        <v>108</v>
      </c>
      <c r="EJ10" s="7">
        <v>0</v>
      </c>
      <c r="EL10" t="s">
        <v>194</v>
      </c>
      <c r="EM10" t="s">
        <v>196</v>
      </c>
      <c r="EN10" t="s">
        <v>134</v>
      </c>
      <c r="EO10" s="8">
        <v>0.38</v>
      </c>
      <c r="EQ10" t="s">
        <v>239</v>
      </c>
      <c r="ER10" t="s">
        <v>240</v>
      </c>
      <c r="ES10" t="s">
        <v>117</v>
      </c>
      <c r="ET10" s="3">
        <v>1.3</v>
      </c>
      <c r="EV10" t="s">
        <v>106</v>
      </c>
      <c r="EW10" t="s">
        <v>107</v>
      </c>
      <c r="EX10" t="s">
        <v>108</v>
      </c>
      <c r="EY10" s="7">
        <v>0</v>
      </c>
      <c r="FA10" t="s">
        <v>106</v>
      </c>
      <c r="FB10" t="s">
        <v>107</v>
      </c>
      <c r="FC10" t="s">
        <v>108</v>
      </c>
      <c r="FD10" s="7">
        <v>0</v>
      </c>
      <c r="FF10" t="s">
        <v>106</v>
      </c>
      <c r="FG10" t="s">
        <v>107</v>
      </c>
      <c r="FH10" t="s">
        <v>108</v>
      </c>
      <c r="FI10" s="7">
        <v>0</v>
      </c>
      <c r="FK10" t="s">
        <v>195</v>
      </c>
      <c r="FL10" t="s">
        <v>174</v>
      </c>
      <c r="FM10" t="s">
        <v>114</v>
      </c>
      <c r="FN10" s="3">
        <v>0.64</v>
      </c>
      <c r="FP10" t="s">
        <v>216</v>
      </c>
      <c r="FQ10" t="s">
        <v>214</v>
      </c>
      <c r="FR10" t="s">
        <v>131</v>
      </c>
      <c r="FS10" s="3">
        <v>0.64</v>
      </c>
      <c r="FU10" s="14" t="s">
        <v>151</v>
      </c>
      <c r="FV10" t="s">
        <v>196</v>
      </c>
      <c r="FW10" t="s">
        <v>178</v>
      </c>
      <c r="FX10" s="3">
        <v>0.57999999999999996</v>
      </c>
      <c r="FZ10" t="s">
        <v>241</v>
      </c>
      <c r="GA10" t="s">
        <v>174</v>
      </c>
      <c r="GB10" t="s">
        <v>142</v>
      </c>
      <c r="GC10" s="8">
        <v>0.05</v>
      </c>
      <c r="GE10" t="s">
        <v>242</v>
      </c>
      <c r="GF10" t="s">
        <v>174</v>
      </c>
      <c r="GG10" t="s">
        <v>131</v>
      </c>
      <c r="GH10" s="8">
        <v>0.3</v>
      </c>
      <c r="GJ10" t="s">
        <v>242</v>
      </c>
      <c r="GK10" t="s">
        <v>191</v>
      </c>
      <c r="GL10" t="s">
        <v>123</v>
      </c>
      <c r="GM10" s="3">
        <v>0.51</v>
      </c>
      <c r="GO10" t="s">
        <v>243</v>
      </c>
      <c r="GP10" t="s">
        <v>244</v>
      </c>
      <c r="GQ10" t="s">
        <v>125</v>
      </c>
      <c r="GR10" s="3">
        <v>1.05</v>
      </c>
      <c r="GT10" t="s">
        <v>195</v>
      </c>
      <c r="GU10" t="s">
        <v>238</v>
      </c>
      <c r="GV10" t="s">
        <v>140</v>
      </c>
      <c r="GW10" s="3">
        <v>0.61</v>
      </c>
    </row>
    <row r="11" spans="1:205" x14ac:dyDescent="0.25">
      <c r="A11" t="s">
        <v>245</v>
      </c>
      <c r="B11" t="s">
        <v>195</v>
      </c>
      <c r="C11" t="s">
        <v>238</v>
      </c>
      <c r="D11" t="s">
        <v>125</v>
      </c>
      <c r="E11" s="3">
        <v>0.51</v>
      </c>
      <c r="G11" t="s">
        <v>106</v>
      </c>
      <c r="H11" t="s">
        <v>174</v>
      </c>
      <c r="I11" t="s">
        <v>140</v>
      </c>
      <c r="J11" s="3">
        <v>0.6</v>
      </c>
      <c r="L11" t="s">
        <v>179</v>
      </c>
      <c r="M11" t="s">
        <v>244</v>
      </c>
      <c r="N11" t="s">
        <v>147</v>
      </c>
      <c r="O11" s="8">
        <v>0.1</v>
      </c>
      <c r="Q11" t="s">
        <v>106</v>
      </c>
      <c r="R11" t="s">
        <v>107</v>
      </c>
      <c r="S11" t="s">
        <v>108</v>
      </c>
      <c r="T11" s="7">
        <v>0</v>
      </c>
      <c r="V11" t="s">
        <v>146</v>
      </c>
      <c r="W11" t="s">
        <v>246</v>
      </c>
      <c r="X11" t="s">
        <v>117</v>
      </c>
      <c r="Y11" s="3">
        <v>1.42</v>
      </c>
      <c r="AA11" t="s">
        <v>106</v>
      </c>
      <c r="AB11" t="s">
        <v>107</v>
      </c>
      <c r="AC11" t="s">
        <v>108</v>
      </c>
      <c r="AD11" s="7">
        <v>0</v>
      </c>
      <c r="AF11" t="s">
        <v>189</v>
      </c>
      <c r="AG11" t="s">
        <v>133</v>
      </c>
      <c r="AH11" t="s">
        <v>170</v>
      </c>
      <c r="AI11" s="8">
        <v>0.02</v>
      </c>
      <c r="AK11" t="s">
        <v>106</v>
      </c>
      <c r="AL11" t="s">
        <v>107</v>
      </c>
      <c r="AM11" t="s">
        <v>108</v>
      </c>
      <c r="AN11" s="7">
        <v>0</v>
      </c>
      <c r="AP11" t="s">
        <v>106</v>
      </c>
      <c r="AQ11" t="s">
        <v>107</v>
      </c>
      <c r="AR11" t="s">
        <v>108</v>
      </c>
      <c r="AS11" s="7">
        <v>0</v>
      </c>
      <c r="AU11" t="s">
        <v>247</v>
      </c>
      <c r="AV11" t="s">
        <v>169</v>
      </c>
      <c r="AW11" t="s">
        <v>119</v>
      </c>
      <c r="AX11" s="3">
        <v>1.4</v>
      </c>
      <c r="AZ11" t="s">
        <v>106</v>
      </c>
      <c r="BA11" t="s">
        <v>107</v>
      </c>
      <c r="BB11" t="s">
        <v>108</v>
      </c>
      <c r="BC11" s="7">
        <v>0</v>
      </c>
      <c r="BE11" t="s">
        <v>124</v>
      </c>
      <c r="BF11" t="s">
        <v>113</v>
      </c>
      <c r="BG11" t="s">
        <v>111</v>
      </c>
      <c r="BH11" s="3">
        <v>0.77</v>
      </c>
      <c r="BJ11" t="s">
        <v>106</v>
      </c>
      <c r="BK11" t="s">
        <v>107</v>
      </c>
      <c r="BL11" t="s">
        <v>108</v>
      </c>
      <c r="BM11" s="7">
        <v>0</v>
      </c>
      <c r="BO11" t="s">
        <v>106</v>
      </c>
      <c r="BP11" t="s">
        <v>107</v>
      </c>
      <c r="BQ11" t="s">
        <v>108</v>
      </c>
      <c r="BR11" s="7">
        <v>0</v>
      </c>
      <c r="BT11" t="s">
        <v>106</v>
      </c>
      <c r="BU11" t="s">
        <v>107</v>
      </c>
      <c r="BV11" t="s">
        <v>108</v>
      </c>
      <c r="BW11" s="7">
        <v>0</v>
      </c>
      <c r="BY11" t="s">
        <v>194</v>
      </c>
      <c r="BZ11" t="s">
        <v>139</v>
      </c>
      <c r="CA11" t="s">
        <v>170</v>
      </c>
      <c r="CB11" s="8">
        <v>0.23</v>
      </c>
      <c r="CD11" t="s">
        <v>106</v>
      </c>
      <c r="CE11" t="s">
        <v>110</v>
      </c>
      <c r="CF11" t="s">
        <v>117</v>
      </c>
      <c r="CG11" s="8">
        <v>0.49</v>
      </c>
      <c r="CI11" t="s">
        <v>106</v>
      </c>
      <c r="CJ11" t="s">
        <v>107</v>
      </c>
      <c r="CK11" t="s">
        <v>108</v>
      </c>
      <c r="CL11" s="7">
        <v>0</v>
      </c>
      <c r="CN11" t="s">
        <v>129</v>
      </c>
      <c r="CO11" t="s">
        <v>110</v>
      </c>
      <c r="CP11" t="s">
        <v>142</v>
      </c>
      <c r="CQ11" s="8">
        <v>0.45</v>
      </c>
      <c r="CS11" t="s">
        <v>106</v>
      </c>
      <c r="CT11" t="s">
        <v>107</v>
      </c>
      <c r="CU11" t="s">
        <v>108</v>
      </c>
      <c r="CV11" s="7">
        <v>0</v>
      </c>
      <c r="CX11" t="s">
        <v>146</v>
      </c>
      <c r="CY11" t="s">
        <v>110</v>
      </c>
      <c r="CZ11" t="s">
        <v>111</v>
      </c>
      <c r="DA11" s="8">
        <v>0.24</v>
      </c>
      <c r="DC11" t="s">
        <v>106</v>
      </c>
      <c r="DD11" t="s">
        <v>107</v>
      </c>
      <c r="DE11" t="s">
        <v>108</v>
      </c>
      <c r="DF11" s="7">
        <v>0</v>
      </c>
      <c r="DH11" t="s">
        <v>224</v>
      </c>
      <c r="DI11" t="s">
        <v>110</v>
      </c>
      <c r="DJ11" t="s">
        <v>117</v>
      </c>
      <c r="DK11" s="8">
        <v>0.27</v>
      </c>
      <c r="DM11" t="s">
        <v>152</v>
      </c>
      <c r="DN11" t="s">
        <v>110</v>
      </c>
      <c r="DO11" t="s">
        <v>123</v>
      </c>
      <c r="DP11" s="8">
        <v>0.37</v>
      </c>
      <c r="DR11" t="s">
        <v>106</v>
      </c>
      <c r="DS11" t="s">
        <v>107</v>
      </c>
      <c r="DT11" t="s">
        <v>108</v>
      </c>
      <c r="DU11" s="7">
        <v>0</v>
      </c>
      <c r="DW11" t="s">
        <v>248</v>
      </c>
      <c r="DX11" t="s">
        <v>249</v>
      </c>
      <c r="DY11" t="s">
        <v>147</v>
      </c>
      <c r="DZ11" s="8">
        <v>0.14000000000000001</v>
      </c>
      <c r="EB11" t="s">
        <v>106</v>
      </c>
      <c r="EC11" t="s">
        <v>107</v>
      </c>
      <c r="ED11" t="s">
        <v>108</v>
      </c>
      <c r="EE11" s="7">
        <v>0</v>
      </c>
      <c r="EG11" t="s">
        <v>106</v>
      </c>
      <c r="EH11" t="s">
        <v>107</v>
      </c>
      <c r="EI11" t="s">
        <v>108</v>
      </c>
      <c r="EJ11" s="7">
        <v>0</v>
      </c>
      <c r="EL11" t="s">
        <v>241</v>
      </c>
      <c r="EM11" t="s">
        <v>250</v>
      </c>
      <c r="EN11" t="s">
        <v>170</v>
      </c>
      <c r="EO11" s="8">
        <v>0.41</v>
      </c>
      <c r="EQ11" t="s">
        <v>106</v>
      </c>
      <c r="ER11" t="s">
        <v>107</v>
      </c>
      <c r="ES11" t="s">
        <v>108</v>
      </c>
      <c r="ET11" s="7">
        <v>0</v>
      </c>
      <c r="EV11" t="s">
        <v>251</v>
      </c>
      <c r="EW11" t="s">
        <v>252</v>
      </c>
      <c r="EX11" t="s">
        <v>140</v>
      </c>
      <c r="EY11" s="3">
        <v>0.55000000000000004</v>
      </c>
      <c r="FA11" t="s">
        <v>106</v>
      </c>
      <c r="FB11" t="s">
        <v>107</v>
      </c>
      <c r="FC11" t="s">
        <v>108</v>
      </c>
      <c r="FD11" s="7">
        <v>0</v>
      </c>
      <c r="FF11" t="s">
        <v>106</v>
      </c>
      <c r="FG11" t="s">
        <v>107</v>
      </c>
      <c r="FH11" t="s">
        <v>108</v>
      </c>
      <c r="FI11" s="7">
        <v>0</v>
      </c>
      <c r="FK11" t="s">
        <v>192</v>
      </c>
      <c r="FL11" t="s">
        <v>174</v>
      </c>
      <c r="FM11" t="s">
        <v>136</v>
      </c>
      <c r="FN11" s="3">
        <v>0.66</v>
      </c>
      <c r="FP11" t="s">
        <v>106</v>
      </c>
      <c r="FQ11" t="s">
        <v>107</v>
      </c>
      <c r="FR11" t="s">
        <v>108</v>
      </c>
      <c r="FS11" s="7">
        <v>0</v>
      </c>
      <c r="FU11" s="14" t="s">
        <v>135</v>
      </c>
      <c r="FV11" t="s">
        <v>110</v>
      </c>
      <c r="FW11" t="s">
        <v>170</v>
      </c>
      <c r="FX11" s="8">
        <v>0.03</v>
      </c>
      <c r="FZ11" t="s">
        <v>253</v>
      </c>
      <c r="GA11" t="s">
        <v>238</v>
      </c>
      <c r="GB11" t="s">
        <v>145</v>
      </c>
      <c r="GC11" s="5">
        <v>-2.2799999999999998</v>
      </c>
      <c r="GE11" t="s">
        <v>194</v>
      </c>
      <c r="GF11" t="s">
        <v>183</v>
      </c>
      <c r="GG11" t="s">
        <v>108</v>
      </c>
      <c r="GH11" s="3">
        <v>0.53</v>
      </c>
      <c r="GJ11" t="s">
        <v>254</v>
      </c>
      <c r="GK11" t="s">
        <v>113</v>
      </c>
      <c r="GL11" t="s">
        <v>123</v>
      </c>
      <c r="GM11" s="8">
        <v>0.35</v>
      </c>
      <c r="GO11" t="s">
        <v>255</v>
      </c>
      <c r="GP11" t="s">
        <v>256</v>
      </c>
      <c r="GQ11" t="s">
        <v>145</v>
      </c>
      <c r="GR11" s="3">
        <v>0.79</v>
      </c>
      <c r="GT11" t="s">
        <v>106</v>
      </c>
      <c r="GU11" t="s">
        <v>240</v>
      </c>
      <c r="GV11" t="s">
        <v>134</v>
      </c>
      <c r="GW11" s="3">
        <v>0.56000000000000005</v>
      </c>
    </row>
    <row r="12" spans="1:205" x14ac:dyDescent="0.25">
      <c r="A12" t="s">
        <v>257</v>
      </c>
      <c r="B12" t="s">
        <v>129</v>
      </c>
      <c r="C12" t="s">
        <v>249</v>
      </c>
      <c r="D12" t="s">
        <v>136</v>
      </c>
      <c r="E12" s="3">
        <v>0.68</v>
      </c>
      <c r="G12" t="s">
        <v>206</v>
      </c>
      <c r="H12" t="s">
        <v>258</v>
      </c>
      <c r="I12" t="s">
        <v>123</v>
      </c>
      <c r="J12" s="3">
        <v>0.71</v>
      </c>
      <c r="L12" t="s">
        <v>259</v>
      </c>
      <c r="M12" t="s">
        <v>110</v>
      </c>
      <c r="N12" t="s">
        <v>147</v>
      </c>
      <c r="O12" s="9">
        <v>-0.21</v>
      </c>
      <c r="Q12" t="s">
        <v>135</v>
      </c>
      <c r="R12" t="s">
        <v>260</v>
      </c>
      <c r="S12" t="s">
        <v>147</v>
      </c>
      <c r="T12" s="3">
        <v>1.02</v>
      </c>
      <c r="V12" t="s">
        <v>194</v>
      </c>
      <c r="W12" t="s">
        <v>252</v>
      </c>
      <c r="X12" t="s">
        <v>114</v>
      </c>
      <c r="Y12" s="3">
        <v>0.62</v>
      </c>
      <c r="AA12" t="s">
        <v>261</v>
      </c>
      <c r="AB12" t="s">
        <v>110</v>
      </c>
      <c r="AC12" t="s">
        <v>108</v>
      </c>
      <c r="AD12" s="3">
        <v>0.77</v>
      </c>
      <c r="AF12" t="s">
        <v>166</v>
      </c>
      <c r="AG12" t="s">
        <v>150</v>
      </c>
      <c r="AH12" t="s">
        <v>131</v>
      </c>
      <c r="AI12" s="8">
        <v>0</v>
      </c>
      <c r="AK12" t="s">
        <v>220</v>
      </c>
      <c r="AL12" t="s">
        <v>110</v>
      </c>
      <c r="AM12" t="s">
        <v>108</v>
      </c>
      <c r="AN12" s="3">
        <v>0.51</v>
      </c>
      <c r="AP12" t="s">
        <v>248</v>
      </c>
      <c r="AQ12" t="s">
        <v>110</v>
      </c>
      <c r="AR12" t="s">
        <v>114</v>
      </c>
      <c r="AS12" s="8">
        <v>0.04</v>
      </c>
      <c r="AU12" t="s">
        <v>224</v>
      </c>
      <c r="AV12" t="s">
        <v>262</v>
      </c>
      <c r="AW12" t="s">
        <v>134</v>
      </c>
      <c r="AX12" s="3">
        <v>1</v>
      </c>
      <c r="AZ12" t="s">
        <v>106</v>
      </c>
      <c r="BA12" t="s">
        <v>107</v>
      </c>
      <c r="BB12" t="s">
        <v>108</v>
      </c>
      <c r="BC12" s="7">
        <v>0</v>
      </c>
      <c r="BE12" t="s">
        <v>200</v>
      </c>
      <c r="BF12" t="s">
        <v>263</v>
      </c>
      <c r="BG12" t="s">
        <v>145</v>
      </c>
      <c r="BH12" s="3">
        <v>1.18</v>
      </c>
      <c r="BJ12" t="s">
        <v>109</v>
      </c>
      <c r="BK12" t="s">
        <v>130</v>
      </c>
      <c r="BL12" t="s">
        <v>170</v>
      </c>
      <c r="BM12" s="3">
        <v>0.53</v>
      </c>
      <c r="BO12" t="s">
        <v>106</v>
      </c>
      <c r="BP12" t="s">
        <v>107</v>
      </c>
      <c r="BQ12" t="s">
        <v>108</v>
      </c>
      <c r="BR12" s="7">
        <v>0</v>
      </c>
      <c r="BT12" t="s">
        <v>224</v>
      </c>
      <c r="BU12" t="s">
        <v>264</v>
      </c>
      <c r="BV12" t="s">
        <v>123</v>
      </c>
      <c r="BW12" s="3">
        <v>1.1499999999999999</v>
      </c>
      <c r="BY12" t="s">
        <v>265</v>
      </c>
      <c r="BZ12" t="s">
        <v>258</v>
      </c>
      <c r="CA12" t="s">
        <v>142</v>
      </c>
      <c r="CB12" s="3">
        <v>0.71</v>
      </c>
      <c r="CD12" t="s">
        <v>194</v>
      </c>
      <c r="CE12" t="s">
        <v>110</v>
      </c>
      <c r="CF12" t="s">
        <v>125</v>
      </c>
      <c r="CG12" s="8">
        <v>0.23</v>
      </c>
      <c r="CI12" t="s">
        <v>266</v>
      </c>
      <c r="CJ12" t="s">
        <v>185</v>
      </c>
      <c r="CK12" t="s">
        <v>108</v>
      </c>
      <c r="CL12" s="1">
        <v>14.76</v>
      </c>
      <c r="CN12" t="s">
        <v>115</v>
      </c>
      <c r="CO12" t="s">
        <v>267</v>
      </c>
      <c r="CP12" t="s">
        <v>140</v>
      </c>
      <c r="CQ12" s="2">
        <v>2.36</v>
      </c>
      <c r="CS12" t="s">
        <v>106</v>
      </c>
      <c r="CT12" t="s">
        <v>107</v>
      </c>
      <c r="CU12" t="s">
        <v>108</v>
      </c>
      <c r="CV12" s="7">
        <v>0</v>
      </c>
      <c r="CX12" t="s">
        <v>216</v>
      </c>
      <c r="CY12" t="s">
        <v>110</v>
      </c>
      <c r="CZ12" t="s">
        <v>136</v>
      </c>
      <c r="DA12" s="8">
        <v>0.17</v>
      </c>
      <c r="DC12" t="s">
        <v>268</v>
      </c>
      <c r="DD12" t="s">
        <v>187</v>
      </c>
      <c r="DE12" t="s">
        <v>170</v>
      </c>
      <c r="DF12" s="6">
        <v>-1.1599999999999999</v>
      </c>
      <c r="DH12" t="s">
        <v>254</v>
      </c>
      <c r="DI12" t="s">
        <v>269</v>
      </c>
      <c r="DJ12" t="s">
        <v>178</v>
      </c>
      <c r="DK12" s="2">
        <v>2.04</v>
      </c>
      <c r="DM12" t="s">
        <v>220</v>
      </c>
      <c r="DN12" t="s">
        <v>238</v>
      </c>
      <c r="DO12" t="s">
        <v>178</v>
      </c>
      <c r="DP12" s="8">
        <v>0.45</v>
      </c>
      <c r="DR12" t="s">
        <v>106</v>
      </c>
      <c r="DS12" t="s">
        <v>107</v>
      </c>
      <c r="DT12" t="s">
        <v>108</v>
      </c>
      <c r="DU12" s="7">
        <v>0</v>
      </c>
      <c r="DW12" t="s">
        <v>232</v>
      </c>
      <c r="DX12" t="s">
        <v>110</v>
      </c>
      <c r="DY12" t="s">
        <v>147</v>
      </c>
      <c r="DZ12" s="9">
        <v>-0.04</v>
      </c>
      <c r="EB12" t="s">
        <v>106</v>
      </c>
      <c r="EC12" t="s">
        <v>107</v>
      </c>
      <c r="ED12" t="s">
        <v>108</v>
      </c>
      <c r="EE12" s="7">
        <v>0</v>
      </c>
      <c r="EG12" t="s">
        <v>106</v>
      </c>
      <c r="EH12" t="s">
        <v>107</v>
      </c>
      <c r="EI12" t="s">
        <v>108</v>
      </c>
      <c r="EJ12" s="7">
        <v>0</v>
      </c>
      <c r="EL12" t="s">
        <v>231</v>
      </c>
      <c r="EM12" t="s">
        <v>233</v>
      </c>
      <c r="EN12" t="s">
        <v>145</v>
      </c>
      <c r="EO12" s="8">
        <v>0.14000000000000001</v>
      </c>
      <c r="EQ12" t="s">
        <v>270</v>
      </c>
      <c r="ER12" t="s">
        <v>110</v>
      </c>
      <c r="ES12" t="s">
        <v>178</v>
      </c>
      <c r="ET12" s="3">
        <v>0.84</v>
      </c>
      <c r="EV12" t="s">
        <v>138</v>
      </c>
      <c r="EW12" t="s">
        <v>185</v>
      </c>
      <c r="EX12" t="s">
        <v>142</v>
      </c>
      <c r="EY12" s="3">
        <v>0.56000000000000005</v>
      </c>
      <c r="FA12" t="s">
        <v>106</v>
      </c>
      <c r="FB12" t="s">
        <v>107</v>
      </c>
      <c r="FC12" t="s">
        <v>108</v>
      </c>
      <c r="FD12" s="7">
        <v>0</v>
      </c>
      <c r="FF12" t="s">
        <v>106</v>
      </c>
      <c r="FG12" t="s">
        <v>107</v>
      </c>
      <c r="FH12" t="s">
        <v>108</v>
      </c>
      <c r="FI12" s="7">
        <v>0</v>
      </c>
      <c r="FK12" t="s">
        <v>194</v>
      </c>
      <c r="FL12" t="s">
        <v>249</v>
      </c>
      <c r="FM12" t="s">
        <v>134</v>
      </c>
      <c r="FN12" s="8">
        <v>0.3</v>
      </c>
      <c r="FP12" t="s">
        <v>138</v>
      </c>
      <c r="FQ12" t="s">
        <v>240</v>
      </c>
      <c r="FR12" t="s">
        <v>119</v>
      </c>
      <c r="FS12" s="3">
        <v>0.83</v>
      </c>
      <c r="FU12" s="14" t="s">
        <v>106</v>
      </c>
      <c r="FV12" t="s">
        <v>107</v>
      </c>
      <c r="FW12" t="s">
        <v>108</v>
      </c>
      <c r="FX12" s="7">
        <v>0</v>
      </c>
      <c r="FZ12" t="s">
        <v>206</v>
      </c>
      <c r="GA12" t="s">
        <v>183</v>
      </c>
      <c r="GB12" t="s">
        <v>111</v>
      </c>
      <c r="GC12" s="3">
        <v>0.53</v>
      </c>
      <c r="GE12" t="s">
        <v>106</v>
      </c>
      <c r="GF12" t="s">
        <v>107</v>
      </c>
      <c r="GG12" t="s">
        <v>108</v>
      </c>
      <c r="GH12" s="7">
        <v>0</v>
      </c>
      <c r="GJ12" t="s">
        <v>192</v>
      </c>
      <c r="GK12" t="s">
        <v>113</v>
      </c>
      <c r="GL12" t="s">
        <v>125</v>
      </c>
      <c r="GM12" s="3">
        <v>0.66</v>
      </c>
      <c r="GO12" t="s">
        <v>228</v>
      </c>
      <c r="GP12" t="s">
        <v>271</v>
      </c>
      <c r="GQ12" t="s">
        <v>142</v>
      </c>
      <c r="GR12" s="3">
        <v>1.06</v>
      </c>
      <c r="GT12" t="s">
        <v>106</v>
      </c>
      <c r="GU12" t="s">
        <v>107</v>
      </c>
      <c r="GV12" t="s">
        <v>108</v>
      </c>
      <c r="GW12" s="7">
        <v>0</v>
      </c>
    </row>
    <row r="13" spans="1:205" x14ac:dyDescent="0.25">
      <c r="A13" t="s">
        <v>272</v>
      </c>
      <c r="B13" t="s">
        <v>106</v>
      </c>
      <c r="C13" t="s">
        <v>107</v>
      </c>
      <c r="D13" t="s">
        <v>108</v>
      </c>
      <c r="E13" s="7">
        <v>0</v>
      </c>
      <c r="G13" t="s">
        <v>200</v>
      </c>
      <c r="H13" t="s">
        <v>233</v>
      </c>
      <c r="I13" t="s">
        <v>178</v>
      </c>
      <c r="J13" s="3">
        <v>0.54</v>
      </c>
      <c r="L13" t="s">
        <v>273</v>
      </c>
      <c r="M13" t="s">
        <v>238</v>
      </c>
      <c r="N13" t="s">
        <v>147</v>
      </c>
      <c r="O13" s="8">
        <v>0</v>
      </c>
      <c r="Q13" t="s">
        <v>109</v>
      </c>
      <c r="R13" t="s">
        <v>274</v>
      </c>
      <c r="S13" t="s">
        <v>114</v>
      </c>
      <c r="T13" s="2">
        <v>3.14</v>
      </c>
      <c r="V13" t="s">
        <v>211</v>
      </c>
      <c r="W13" t="s">
        <v>110</v>
      </c>
      <c r="X13" t="s">
        <v>170</v>
      </c>
      <c r="Y13" s="8">
        <v>0.44</v>
      </c>
      <c r="AA13" t="s">
        <v>275</v>
      </c>
      <c r="AB13" t="s">
        <v>110</v>
      </c>
      <c r="AC13" t="s">
        <v>147</v>
      </c>
      <c r="AD13" s="3">
        <v>0.67</v>
      </c>
      <c r="AF13" t="s">
        <v>273</v>
      </c>
      <c r="AG13" t="s">
        <v>139</v>
      </c>
      <c r="AH13" t="s">
        <v>114</v>
      </c>
      <c r="AI13" s="8">
        <v>0.12</v>
      </c>
      <c r="AK13" t="s">
        <v>124</v>
      </c>
      <c r="AL13" t="s">
        <v>110</v>
      </c>
      <c r="AM13" t="s">
        <v>111</v>
      </c>
      <c r="AN13" s="3">
        <v>0.56000000000000005</v>
      </c>
      <c r="AP13" t="s">
        <v>247</v>
      </c>
      <c r="AQ13" t="s">
        <v>276</v>
      </c>
      <c r="AR13" t="s">
        <v>119</v>
      </c>
      <c r="AS13" s="8">
        <v>0.37</v>
      </c>
      <c r="AU13" t="s">
        <v>166</v>
      </c>
      <c r="AV13" t="s">
        <v>262</v>
      </c>
      <c r="AW13" t="s">
        <v>142</v>
      </c>
      <c r="AX13" s="3">
        <v>0.76</v>
      </c>
      <c r="AZ13" t="s">
        <v>106</v>
      </c>
      <c r="BA13" t="s">
        <v>107</v>
      </c>
      <c r="BB13" t="s">
        <v>108</v>
      </c>
      <c r="BC13" s="7">
        <v>0</v>
      </c>
      <c r="BE13" t="s">
        <v>206</v>
      </c>
      <c r="BF13" t="s">
        <v>183</v>
      </c>
      <c r="BG13" t="s">
        <v>111</v>
      </c>
      <c r="BH13" s="3">
        <v>0.52</v>
      </c>
      <c r="BJ13" t="s">
        <v>200</v>
      </c>
      <c r="BK13" t="s">
        <v>185</v>
      </c>
      <c r="BL13" t="s">
        <v>123</v>
      </c>
      <c r="BM13" s="8">
        <v>0.32</v>
      </c>
      <c r="BO13" t="s">
        <v>106</v>
      </c>
      <c r="BP13" t="s">
        <v>107</v>
      </c>
      <c r="BQ13" t="s">
        <v>108</v>
      </c>
      <c r="BR13" s="7">
        <v>0</v>
      </c>
      <c r="BT13" t="s">
        <v>277</v>
      </c>
      <c r="BU13" t="s">
        <v>133</v>
      </c>
      <c r="BV13" t="s">
        <v>140</v>
      </c>
      <c r="BW13" s="4">
        <v>-5.54</v>
      </c>
      <c r="BY13" t="s">
        <v>265</v>
      </c>
      <c r="BZ13" t="s">
        <v>235</v>
      </c>
      <c r="CA13" t="s">
        <v>119</v>
      </c>
      <c r="CB13" s="3">
        <v>0.55000000000000004</v>
      </c>
      <c r="CD13" t="s">
        <v>242</v>
      </c>
      <c r="CE13" t="s">
        <v>209</v>
      </c>
      <c r="CF13" t="s">
        <v>142</v>
      </c>
      <c r="CG13" s="8">
        <v>0.3</v>
      </c>
      <c r="CI13" t="s">
        <v>106</v>
      </c>
      <c r="CJ13" t="s">
        <v>107</v>
      </c>
      <c r="CK13" t="s">
        <v>108</v>
      </c>
      <c r="CL13" s="7">
        <v>0</v>
      </c>
      <c r="CN13" t="s">
        <v>128</v>
      </c>
      <c r="CO13" t="s">
        <v>278</v>
      </c>
      <c r="CP13" t="s">
        <v>147</v>
      </c>
      <c r="CQ13" s="2">
        <v>4.1500000000000004</v>
      </c>
      <c r="CS13" t="s">
        <v>106</v>
      </c>
      <c r="CT13" t="s">
        <v>107</v>
      </c>
      <c r="CU13" t="s">
        <v>108</v>
      </c>
      <c r="CV13" s="7">
        <v>0</v>
      </c>
      <c r="CX13" t="s">
        <v>179</v>
      </c>
      <c r="CY13" t="s">
        <v>110</v>
      </c>
      <c r="CZ13" t="s">
        <v>142</v>
      </c>
      <c r="DA13" s="8">
        <v>0.15</v>
      </c>
      <c r="DC13" t="s">
        <v>273</v>
      </c>
      <c r="DD13" t="s">
        <v>127</v>
      </c>
      <c r="DE13" t="s">
        <v>140</v>
      </c>
      <c r="DF13" s="8">
        <v>0.15</v>
      </c>
      <c r="DH13" t="s">
        <v>222</v>
      </c>
      <c r="DI13" t="s">
        <v>110</v>
      </c>
      <c r="DJ13" t="s">
        <v>142</v>
      </c>
      <c r="DK13" s="8">
        <v>0.04</v>
      </c>
      <c r="DM13" t="s">
        <v>279</v>
      </c>
      <c r="DN13" t="s">
        <v>209</v>
      </c>
      <c r="DO13" t="s">
        <v>134</v>
      </c>
      <c r="DP13" s="8">
        <v>0.38</v>
      </c>
      <c r="DR13" t="s">
        <v>106</v>
      </c>
      <c r="DS13" t="s">
        <v>107</v>
      </c>
      <c r="DT13" t="s">
        <v>108</v>
      </c>
      <c r="DU13" s="7">
        <v>0</v>
      </c>
      <c r="DW13" t="s">
        <v>106</v>
      </c>
      <c r="DX13" t="s">
        <v>107</v>
      </c>
      <c r="DY13" t="s">
        <v>108</v>
      </c>
      <c r="DZ13" s="7">
        <v>0</v>
      </c>
      <c r="EB13" t="s">
        <v>106</v>
      </c>
      <c r="EC13" t="s">
        <v>107</v>
      </c>
      <c r="ED13" t="s">
        <v>108</v>
      </c>
      <c r="EE13" s="7">
        <v>0</v>
      </c>
      <c r="EG13" t="s">
        <v>106</v>
      </c>
      <c r="EH13" t="s">
        <v>107</v>
      </c>
      <c r="EI13" t="s">
        <v>108</v>
      </c>
      <c r="EJ13" s="7">
        <v>0</v>
      </c>
      <c r="EL13" t="s">
        <v>189</v>
      </c>
      <c r="EM13" t="s">
        <v>110</v>
      </c>
      <c r="EN13" t="s">
        <v>178</v>
      </c>
      <c r="EO13" s="8">
        <v>0.06</v>
      </c>
      <c r="EQ13" t="s">
        <v>153</v>
      </c>
      <c r="ER13" t="s">
        <v>280</v>
      </c>
      <c r="ES13" t="s">
        <v>134</v>
      </c>
      <c r="ET13" s="3">
        <v>1.07</v>
      </c>
      <c r="EV13" t="s">
        <v>146</v>
      </c>
      <c r="EW13" t="s">
        <v>110</v>
      </c>
      <c r="EX13" t="s">
        <v>147</v>
      </c>
      <c r="EY13" s="8">
        <v>0.12</v>
      </c>
      <c r="FA13" t="s">
        <v>106</v>
      </c>
      <c r="FB13" t="s">
        <v>107</v>
      </c>
      <c r="FC13" t="s">
        <v>108</v>
      </c>
      <c r="FD13" s="7">
        <v>0</v>
      </c>
      <c r="FF13" t="s">
        <v>106</v>
      </c>
      <c r="FG13" t="s">
        <v>107</v>
      </c>
      <c r="FH13" t="s">
        <v>108</v>
      </c>
      <c r="FI13" s="7">
        <v>0</v>
      </c>
      <c r="FK13" t="s">
        <v>115</v>
      </c>
      <c r="FL13" t="s">
        <v>183</v>
      </c>
      <c r="FM13" t="s">
        <v>140</v>
      </c>
      <c r="FN13" s="3">
        <v>0.75</v>
      </c>
      <c r="FP13" t="s">
        <v>190</v>
      </c>
      <c r="FQ13" t="s">
        <v>133</v>
      </c>
      <c r="FR13" t="s">
        <v>136</v>
      </c>
      <c r="FS13" s="3">
        <v>0.57999999999999996</v>
      </c>
      <c r="FU13" s="14" t="s">
        <v>106</v>
      </c>
      <c r="FV13" t="s">
        <v>110</v>
      </c>
      <c r="FW13" t="s">
        <v>134</v>
      </c>
      <c r="FX13" s="8">
        <v>0.31</v>
      </c>
      <c r="FZ13" t="s">
        <v>242</v>
      </c>
      <c r="GA13" t="s">
        <v>249</v>
      </c>
      <c r="GB13" t="s">
        <v>136</v>
      </c>
      <c r="GC13" s="8">
        <v>0.46</v>
      </c>
      <c r="GE13" t="s">
        <v>106</v>
      </c>
      <c r="GF13" t="s">
        <v>107</v>
      </c>
      <c r="GG13" t="s">
        <v>108</v>
      </c>
      <c r="GH13" s="7">
        <v>0</v>
      </c>
      <c r="GJ13" t="s">
        <v>152</v>
      </c>
      <c r="GK13" t="s">
        <v>235</v>
      </c>
      <c r="GL13" t="s">
        <v>136</v>
      </c>
      <c r="GM13" s="3">
        <v>0.79</v>
      </c>
      <c r="GO13" t="s">
        <v>281</v>
      </c>
      <c r="GP13" t="s">
        <v>187</v>
      </c>
      <c r="GQ13" t="s">
        <v>123</v>
      </c>
      <c r="GR13" s="3">
        <v>0.57999999999999996</v>
      </c>
      <c r="GT13" t="s">
        <v>220</v>
      </c>
      <c r="GU13" t="s">
        <v>113</v>
      </c>
      <c r="GV13" t="s">
        <v>114</v>
      </c>
      <c r="GW13" s="3">
        <v>0.59</v>
      </c>
    </row>
    <row r="14" spans="1:205" x14ac:dyDescent="0.25">
      <c r="A14" t="s">
        <v>282</v>
      </c>
      <c r="B14" t="s">
        <v>190</v>
      </c>
      <c r="C14" t="s">
        <v>209</v>
      </c>
      <c r="D14" t="s">
        <v>145</v>
      </c>
      <c r="E14" s="8">
        <v>0.36</v>
      </c>
      <c r="G14" t="s">
        <v>195</v>
      </c>
      <c r="H14" t="s">
        <v>271</v>
      </c>
      <c r="I14" t="s">
        <v>147</v>
      </c>
      <c r="J14" s="3">
        <v>0.76</v>
      </c>
      <c r="L14" t="s">
        <v>109</v>
      </c>
      <c r="M14" t="s">
        <v>113</v>
      </c>
      <c r="N14" t="s">
        <v>142</v>
      </c>
      <c r="O14" s="8">
        <v>0.48</v>
      </c>
      <c r="Q14" t="s">
        <v>106</v>
      </c>
      <c r="R14" t="s">
        <v>107</v>
      </c>
      <c r="S14" t="s">
        <v>108</v>
      </c>
      <c r="T14" s="7">
        <v>0</v>
      </c>
      <c r="V14" t="s">
        <v>106</v>
      </c>
      <c r="W14" t="s">
        <v>107</v>
      </c>
      <c r="X14" t="s">
        <v>108</v>
      </c>
      <c r="Y14" s="7">
        <v>0</v>
      </c>
      <c r="AA14" t="s">
        <v>106</v>
      </c>
      <c r="AB14" t="s">
        <v>107</v>
      </c>
      <c r="AC14" t="s">
        <v>108</v>
      </c>
      <c r="AD14" s="7">
        <v>0</v>
      </c>
      <c r="AF14" t="s">
        <v>106</v>
      </c>
      <c r="AG14" t="s">
        <v>107</v>
      </c>
      <c r="AH14" t="s">
        <v>108</v>
      </c>
      <c r="AI14" s="7">
        <v>0</v>
      </c>
      <c r="AK14" t="s">
        <v>106</v>
      </c>
      <c r="AL14" t="s">
        <v>107</v>
      </c>
      <c r="AM14" t="s">
        <v>108</v>
      </c>
      <c r="AN14" s="7">
        <v>0</v>
      </c>
      <c r="AP14" t="s">
        <v>106</v>
      </c>
      <c r="AQ14" t="s">
        <v>107</v>
      </c>
      <c r="AR14" t="s">
        <v>108</v>
      </c>
      <c r="AS14" s="7">
        <v>0</v>
      </c>
      <c r="AU14" t="s">
        <v>189</v>
      </c>
      <c r="AV14" t="s">
        <v>262</v>
      </c>
      <c r="AW14" t="s">
        <v>142</v>
      </c>
      <c r="AX14" s="3">
        <v>0.86</v>
      </c>
      <c r="AZ14" t="s">
        <v>106</v>
      </c>
      <c r="BA14" t="s">
        <v>107</v>
      </c>
      <c r="BB14" t="s">
        <v>108</v>
      </c>
      <c r="BC14" s="7">
        <v>0</v>
      </c>
      <c r="BE14" t="s">
        <v>124</v>
      </c>
      <c r="BF14" t="s">
        <v>283</v>
      </c>
      <c r="BG14" t="s">
        <v>170</v>
      </c>
      <c r="BH14" s="3">
        <v>0.96</v>
      </c>
      <c r="BJ14" t="s">
        <v>132</v>
      </c>
      <c r="BK14" t="s">
        <v>174</v>
      </c>
      <c r="BL14" t="s">
        <v>142</v>
      </c>
      <c r="BM14" s="8">
        <v>0.4</v>
      </c>
      <c r="BO14" t="s">
        <v>106</v>
      </c>
      <c r="BP14" t="s">
        <v>107</v>
      </c>
      <c r="BQ14" t="s">
        <v>108</v>
      </c>
      <c r="BR14" s="7">
        <v>0</v>
      </c>
      <c r="BT14" t="s">
        <v>106</v>
      </c>
      <c r="BU14" t="s">
        <v>107</v>
      </c>
      <c r="BV14" t="s">
        <v>108</v>
      </c>
      <c r="BW14" s="7">
        <v>0</v>
      </c>
      <c r="BY14" t="s">
        <v>206</v>
      </c>
      <c r="BZ14" t="s">
        <v>284</v>
      </c>
      <c r="CA14" t="s">
        <v>125</v>
      </c>
      <c r="CB14" s="3">
        <v>0.59</v>
      </c>
      <c r="CD14" t="s">
        <v>138</v>
      </c>
      <c r="CE14" t="s">
        <v>209</v>
      </c>
      <c r="CF14" t="s">
        <v>136</v>
      </c>
      <c r="CG14" s="3">
        <v>0.63</v>
      </c>
      <c r="CI14" t="s">
        <v>106</v>
      </c>
      <c r="CJ14" t="s">
        <v>107</v>
      </c>
      <c r="CK14" t="s">
        <v>108</v>
      </c>
      <c r="CL14" s="7">
        <v>0</v>
      </c>
      <c r="CN14" t="s">
        <v>118</v>
      </c>
      <c r="CO14" t="s">
        <v>285</v>
      </c>
      <c r="CP14" t="s">
        <v>170</v>
      </c>
      <c r="CQ14" s="3">
        <v>0.87</v>
      </c>
      <c r="CS14" t="s">
        <v>106</v>
      </c>
      <c r="CT14" t="s">
        <v>107</v>
      </c>
      <c r="CU14" t="s">
        <v>108</v>
      </c>
      <c r="CV14" s="7">
        <v>0</v>
      </c>
      <c r="CX14" t="s">
        <v>248</v>
      </c>
      <c r="CY14" t="s">
        <v>185</v>
      </c>
      <c r="CZ14" t="s">
        <v>131</v>
      </c>
      <c r="DA14" s="9">
        <v>-0.04</v>
      </c>
      <c r="DC14" t="s">
        <v>212</v>
      </c>
      <c r="DD14" t="s">
        <v>286</v>
      </c>
      <c r="DE14" t="s">
        <v>140</v>
      </c>
      <c r="DF14" s="8">
        <v>0.08</v>
      </c>
      <c r="DH14" t="s">
        <v>106</v>
      </c>
      <c r="DI14" t="s">
        <v>107</v>
      </c>
      <c r="DJ14" t="s">
        <v>108</v>
      </c>
      <c r="DK14" s="7">
        <v>0</v>
      </c>
      <c r="DM14" t="s">
        <v>124</v>
      </c>
      <c r="DN14" t="s">
        <v>185</v>
      </c>
      <c r="DO14" t="s">
        <v>111</v>
      </c>
      <c r="DP14" s="3">
        <v>0.61</v>
      </c>
      <c r="DR14" t="s">
        <v>190</v>
      </c>
      <c r="DS14" t="s">
        <v>238</v>
      </c>
      <c r="DT14" t="s">
        <v>123</v>
      </c>
      <c r="DU14" s="8">
        <v>0.36</v>
      </c>
      <c r="DW14" t="s">
        <v>251</v>
      </c>
      <c r="DX14" t="s">
        <v>238</v>
      </c>
      <c r="DY14" t="s">
        <v>136</v>
      </c>
      <c r="DZ14" s="8">
        <v>0.21</v>
      </c>
      <c r="EB14" t="s">
        <v>106</v>
      </c>
      <c r="EC14" t="s">
        <v>107</v>
      </c>
      <c r="ED14" t="s">
        <v>108</v>
      </c>
      <c r="EE14" s="7">
        <v>0</v>
      </c>
      <c r="EG14" t="s">
        <v>106</v>
      </c>
      <c r="EH14" t="s">
        <v>107</v>
      </c>
      <c r="EI14" t="s">
        <v>108</v>
      </c>
      <c r="EJ14" s="7">
        <v>0</v>
      </c>
      <c r="EL14" t="s">
        <v>106</v>
      </c>
      <c r="EM14" t="s">
        <v>107</v>
      </c>
      <c r="EN14" t="s">
        <v>108</v>
      </c>
      <c r="EO14" s="7">
        <v>0</v>
      </c>
      <c r="EQ14" t="s">
        <v>138</v>
      </c>
      <c r="ER14" t="s">
        <v>110</v>
      </c>
      <c r="ES14" t="s">
        <v>123</v>
      </c>
      <c r="ET14" s="8">
        <v>0.45</v>
      </c>
      <c r="EV14" t="s">
        <v>106</v>
      </c>
      <c r="EW14" t="s">
        <v>107</v>
      </c>
      <c r="EX14" t="s">
        <v>108</v>
      </c>
      <c r="EY14" s="7">
        <v>0</v>
      </c>
      <c r="FA14" t="s">
        <v>106</v>
      </c>
      <c r="FB14" t="s">
        <v>107</v>
      </c>
      <c r="FC14" t="s">
        <v>108</v>
      </c>
      <c r="FD14" s="7">
        <v>0</v>
      </c>
      <c r="FF14" t="s">
        <v>106</v>
      </c>
      <c r="FG14" t="s">
        <v>107</v>
      </c>
      <c r="FH14" t="s">
        <v>108</v>
      </c>
      <c r="FI14" s="7">
        <v>0</v>
      </c>
      <c r="FK14" t="s">
        <v>106</v>
      </c>
      <c r="FL14" t="s">
        <v>107</v>
      </c>
      <c r="FM14" t="s">
        <v>108</v>
      </c>
      <c r="FN14" s="7">
        <v>0</v>
      </c>
      <c r="FP14" t="s">
        <v>194</v>
      </c>
      <c r="FQ14" t="s">
        <v>209</v>
      </c>
      <c r="FR14" t="s">
        <v>134</v>
      </c>
      <c r="FS14" s="8">
        <v>0.24</v>
      </c>
      <c r="FU14" s="14" t="s">
        <v>132</v>
      </c>
      <c r="FV14" t="s">
        <v>110</v>
      </c>
      <c r="FW14" t="s">
        <v>134</v>
      </c>
      <c r="FX14" s="8">
        <v>0.24</v>
      </c>
      <c r="FZ14" t="s">
        <v>106</v>
      </c>
      <c r="GA14" t="s">
        <v>107</v>
      </c>
      <c r="GB14" t="s">
        <v>108</v>
      </c>
      <c r="GC14" s="7">
        <v>0</v>
      </c>
      <c r="GE14" t="s">
        <v>190</v>
      </c>
      <c r="GF14" t="s">
        <v>238</v>
      </c>
      <c r="GG14" t="s">
        <v>145</v>
      </c>
      <c r="GH14" s="8">
        <v>0.35</v>
      </c>
      <c r="GJ14" t="s">
        <v>124</v>
      </c>
      <c r="GK14" t="s">
        <v>209</v>
      </c>
      <c r="GL14" t="s">
        <v>134</v>
      </c>
      <c r="GM14" s="8">
        <v>0.46</v>
      </c>
      <c r="GO14" t="s">
        <v>128</v>
      </c>
      <c r="GP14" t="s">
        <v>244</v>
      </c>
      <c r="GQ14" t="s">
        <v>140</v>
      </c>
      <c r="GR14" s="3">
        <v>0.64</v>
      </c>
      <c r="GT14" t="s">
        <v>152</v>
      </c>
      <c r="GU14" t="s">
        <v>284</v>
      </c>
      <c r="GV14" t="s">
        <v>175</v>
      </c>
      <c r="GW14" s="3">
        <v>0.63</v>
      </c>
    </row>
    <row r="15" spans="1:205" x14ac:dyDescent="0.25">
      <c r="A15" t="s">
        <v>287</v>
      </c>
      <c r="B15" t="s">
        <v>106</v>
      </c>
      <c r="C15" t="s">
        <v>107</v>
      </c>
      <c r="D15" t="s">
        <v>108</v>
      </c>
      <c r="E15" s="7">
        <v>0</v>
      </c>
      <c r="G15" t="s">
        <v>190</v>
      </c>
      <c r="H15" t="s">
        <v>183</v>
      </c>
      <c r="I15" t="s">
        <v>114</v>
      </c>
      <c r="J15" s="3">
        <v>0.59</v>
      </c>
      <c r="L15" t="s">
        <v>106</v>
      </c>
      <c r="M15" t="s">
        <v>107</v>
      </c>
      <c r="N15" t="s">
        <v>108</v>
      </c>
      <c r="O15" s="7">
        <v>0</v>
      </c>
      <c r="Q15" t="s">
        <v>254</v>
      </c>
      <c r="R15" t="s">
        <v>288</v>
      </c>
      <c r="S15" t="s">
        <v>134</v>
      </c>
      <c r="T15" s="3">
        <v>1.07</v>
      </c>
      <c r="V15" t="s">
        <v>106</v>
      </c>
      <c r="W15" t="s">
        <v>107</v>
      </c>
      <c r="X15" t="s">
        <v>108</v>
      </c>
      <c r="Y15" s="7">
        <v>0</v>
      </c>
      <c r="AA15" t="s">
        <v>289</v>
      </c>
      <c r="AB15" t="s">
        <v>174</v>
      </c>
      <c r="AC15" t="s">
        <v>119</v>
      </c>
      <c r="AD15" s="3">
        <v>1.08</v>
      </c>
      <c r="AF15" t="s">
        <v>290</v>
      </c>
      <c r="AG15" t="s">
        <v>205</v>
      </c>
      <c r="AH15" t="s">
        <v>123</v>
      </c>
      <c r="AI15" s="6">
        <v>-0.53</v>
      </c>
      <c r="AK15" t="s">
        <v>109</v>
      </c>
      <c r="AL15" t="s">
        <v>110</v>
      </c>
      <c r="AM15" t="s">
        <v>145</v>
      </c>
      <c r="AN15" s="8">
        <v>0.22</v>
      </c>
      <c r="AP15" t="s">
        <v>106</v>
      </c>
      <c r="AQ15" t="s">
        <v>107</v>
      </c>
      <c r="AR15" t="s">
        <v>108</v>
      </c>
      <c r="AS15" s="7">
        <v>0</v>
      </c>
      <c r="AU15" t="s">
        <v>201</v>
      </c>
      <c r="AV15" t="s">
        <v>291</v>
      </c>
      <c r="AW15" t="s">
        <v>119</v>
      </c>
      <c r="AX15" s="3">
        <v>0.87</v>
      </c>
      <c r="AZ15" t="s">
        <v>106</v>
      </c>
      <c r="BA15" t="s">
        <v>107</v>
      </c>
      <c r="BB15" t="s">
        <v>108</v>
      </c>
      <c r="BC15" s="7">
        <v>0</v>
      </c>
      <c r="BE15" t="s">
        <v>206</v>
      </c>
      <c r="BF15" t="s">
        <v>209</v>
      </c>
      <c r="BG15" t="s">
        <v>145</v>
      </c>
      <c r="BH15" s="8">
        <v>0.22</v>
      </c>
      <c r="BJ15" t="s">
        <v>220</v>
      </c>
      <c r="BK15" t="s">
        <v>174</v>
      </c>
      <c r="BL15" t="s">
        <v>145</v>
      </c>
      <c r="BM15" s="8">
        <v>0.42</v>
      </c>
      <c r="BO15" t="s">
        <v>106</v>
      </c>
      <c r="BP15" t="s">
        <v>107</v>
      </c>
      <c r="BQ15" t="s">
        <v>108</v>
      </c>
      <c r="BR15" s="7">
        <v>0</v>
      </c>
      <c r="BT15" t="s">
        <v>106</v>
      </c>
      <c r="BU15" t="s">
        <v>107</v>
      </c>
      <c r="BV15" t="s">
        <v>108</v>
      </c>
      <c r="BW15" s="7">
        <v>0</v>
      </c>
      <c r="BY15" t="s">
        <v>292</v>
      </c>
      <c r="BZ15" t="s">
        <v>238</v>
      </c>
      <c r="CA15" t="s">
        <v>117</v>
      </c>
      <c r="CB15" s="5">
        <v>-2.92</v>
      </c>
      <c r="CD15" t="s">
        <v>124</v>
      </c>
      <c r="CE15" t="s">
        <v>110</v>
      </c>
      <c r="CF15" t="s">
        <v>175</v>
      </c>
      <c r="CG15" s="8">
        <v>0.33</v>
      </c>
      <c r="CI15" t="s">
        <v>106</v>
      </c>
      <c r="CJ15" t="s">
        <v>107</v>
      </c>
      <c r="CK15" t="s">
        <v>108</v>
      </c>
      <c r="CL15" s="7">
        <v>0</v>
      </c>
      <c r="CN15" t="s">
        <v>293</v>
      </c>
      <c r="CO15" t="s">
        <v>294</v>
      </c>
      <c r="CP15" t="s">
        <v>134</v>
      </c>
      <c r="CQ15" s="2">
        <v>2.7</v>
      </c>
      <c r="CS15" t="s">
        <v>106</v>
      </c>
      <c r="CT15" t="s">
        <v>107</v>
      </c>
      <c r="CU15" t="s">
        <v>108</v>
      </c>
      <c r="CV15" s="7">
        <v>0</v>
      </c>
      <c r="CX15" t="s">
        <v>295</v>
      </c>
      <c r="CY15" t="s">
        <v>113</v>
      </c>
      <c r="CZ15" t="s">
        <v>108</v>
      </c>
      <c r="DA15" s="1">
        <v>14.87</v>
      </c>
      <c r="DC15" t="s">
        <v>261</v>
      </c>
      <c r="DD15" t="s">
        <v>296</v>
      </c>
      <c r="DE15" t="s">
        <v>123</v>
      </c>
      <c r="DF15" s="8">
        <v>0.04</v>
      </c>
      <c r="DH15" t="s">
        <v>200</v>
      </c>
      <c r="DI15" t="s">
        <v>110</v>
      </c>
      <c r="DJ15" t="s">
        <v>131</v>
      </c>
      <c r="DK15" s="8">
        <v>0.21</v>
      </c>
      <c r="DM15" t="s">
        <v>115</v>
      </c>
      <c r="DN15" t="s">
        <v>110</v>
      </c>
      <c r="DO15" t="s">
        <v>134</v>
      </c>
      <c r="DP15" s="8">
        <v>0.47</v>
      </c>
      <c r="DR15" t="s">
        <v>132</v>
      </c>
      <c r="DS15" t="s">
        <v>249</v>
      </c>
      <c r="DT15" t="s">
        <v>170</v>
      </c>
      <c r="DU15" s="8">
        <v>0.33</v>
      </c>
      <c r="DW15" t="s">
        <v>106</v>
      </c>
      <c r="DX15" t="s">
        <v>107</v>
      </c>
      <c r="DY15" t="s">
        <v>108</v>
      </c>
      <c r="DZ15" s="7">
        <v>0</v>
      </c>
      <c r="EB15" t="s">
        <v>106</v>
      </c>
      <c r="EC15" t="s">
        <v>107</v>
      </c>
      <c r="ED15" t="s">
        <v>108</v>
      </c>
      <c r="EE15" s="7">
        <v>0</v>
      </c>
      <c r="EG15" t="s">
        <v>297</v>
      </c>
      <c r="EH15" t="s">
        <v>150</v>
      </c>
      <c r="EI15" t="s">
        <v>142</v>
      </c>
      <c r="EJ15" s="5">
        <v>-2.17</v>
      </c>
      <c r="EL15" t="s">
        <v>106</v>
      </c>
      <c r="EM15" t="s">
        <v>107</v>
      </c>
      <c r="EN15" t="s">
        <v>108</v>
      </c>
      <c r="EO15" s="7">
        <v>0</v>
      </c>
      <c r="EQ15" t="s">
        <v>239</v>
      </c>
      <c r="ER15" t="s">
        <v>110</v>
      </c>
      <c r="ES15" t="s">
        <v>140</v>
      </c>
      <c r="ET15" s="3">
        <v>1.01</v>
      </c>
      <c r="EV15" t="s">
        <v>106</v>
      </c>
      <c r="EW15" t="s">
        <v>107</v>
      </c>
      <c r="EX15" t="s">
        <v>108</v>
      </c>
      <c r="EY15" s="7">
        <v>0</v>
      </c>
      <c r="FA15" t="s">
        <v>106</v>
      </c>
      <c r="FB15" t="s">
        <v>107</v>
      </c>
      <c r="FC15" t="s">
        <v>108</v>
      </c>
      <c r="FD15" s="7">
        <v>0</v>
      </c>
      <c r="FF15" t="s">
        <v>106</v>
      </c>
      <c r="FG15" t="s">
        <v>107</v>
      </c>
      <c r="FH15" t="s">
        <v>108</v>
      </c>
      <c r="FI15" s="7">
        <v>0</v>
      </c>
      <c r="FK15" t="s">
        <v>149</v>
      </c>
      <c r="FL15" t="s">
        <v>174</v>
      </c>
      <c r="FM15" t="s">
        <v>119</v>
      </c>
      <c r="FN15" s="3">
        <v>0.78</v>
      </c>
      <c r="FP15" t="s">
        <v>190</v>
      </c>
      <c r="FQ15" t="s">
        <v>249</v>
      </c>
      <c r="FR15" t="s">
        <v>178</v>
      </c>
      <c r="FS15" s="3">
        <v>0.56999999999999995</v>
      </c>
      <c r="FU15" s="14" t="s">
        <v>242</v>
      </c>
      <c r="FV15" t="s">
        <v>110</v>
      </c>
      <c r="FW15" t="s">
        <v>114</v>
      </c>
      <c r="FX15" s="8">
        <v>0.28999999999999998</v>
      </c>
      <c r="FZ15" t="s">
        <v>135</v>
      </c>
      <c r="GA15" t="s">
        <v>113</v>
      </c>
      <c r="GB15" t="s">
        <v>147</v>
      </c>
      <c r="GC15" s="8">
        <v>0.31</v>
      </c>
      <c r="GE15" t="s">
        <v>220</v>
      </c>
      <c r="GF15" t="s">
        <v>244</v>
      </c>
      <c r="GG15" t="s">
        <v>147</v>
      </c>
      <c r="GH15" s="8">
        <v>0.3</v>
      </c>
      <c r="GJ15" t="s">
        <v>220</v>
      </c>
      <c r="GK15" t="s">
        <v>183</v>
      </c>
      <c r="GL15" t="s">
        <v>175</v>
      </c>
      <c r="GM15" s="8">
        <v>0.4</v>
      </c>
      <c r="GO15" t="s">
        <v>298</v>
      </c>
      <c r="GP15" t="s">
        <v>157</v>
      </c>
      <c r="GQ15" t="s">
        <v>170</v>
      </c>
      <c r="GR15" s="8">
        <v>0.43</v>
      </c>
      <c r="GT15" t="s">
        <v>181</v>
      </c>
      <c r="GU15" t="s">
        <v>295</v>
      </c>
      <c r="GV15" t="s">
        <v>147</v>
      </c>
      <c r="GW15" s="2">
        <v>2.0699999999999998</v>
      </c>
    </row>
    <row r="16" spans="1:205" x14ac:dyDescent="0.25">
      <c r="A16" t="s">
        <v>299</v>
      </c>
      <c r="B16" t="s">
        <v>300</v>
      </c>
      <c r="C16" t="s">
        <v>113</v>
      </c>
      <c r="D16" t="s">
        <v>119</v>
      </c>
      <c r="E16" s="6">
        <v>-1.5</v>
      </c>
      <c r="G16" t="s">
        <v>200</v>
      </c>
      <c r="H16" t="s">
        <v>238</v>
      </c>
      <c r="I16" t="s">
        <v>147</v>
      </c>
      <c r="J16" s="8">
        <v>0.33</v>
      </c>
      <c r="L16" t="s">
        <v>106</v>
      </c>
      <c r="M16" t="s">
        <v>107</v>
      </c>
      <c r="N16" t="s">
        <v>108</v>
      </c>
      <c r="O16" s="7">
        <v>0</v>
      </c>
      <c r="Q16" t="s">
        <v>195</v>
      </c>
      <c r="R16" t="s">
        <v>301</v>
      </c>
      <c r="S16" t="s">
        <v>140</v>
      </c>
      <c r="T16" s="2">
        <v>2.2400000000000002</v>
      </c>
      <c r="V16" t="s">
        <v>106</v>
      </c>
      <c r="W16" t="s">
        <v>107</v>
      </c>
      <c r="X16" t="s">
        <v>108</v>
      </c>
      <c r="Y16" s="7">
        <v>0</v>
      </c>
      <c r="AA16" t="s">
        <v>302</v>
      </c>
      <c r="AB16" t="s">
        <v>303</v>
      </c>
      <c r="AC16" t="s">
        <v>111</v>
      </c>
      <c r="AD16" s="3">
        <v>0.72</v>
      </c>
      <c r="AF16" t="s">
        <v>163</v>
      </c>
      <c r="AG16" t="s">
        <v>183</v>
      </c>
      <c r="AH16" t="s">
        <v>147</v>
      </c>
      <c r="AI16" s="9">
        <v>-0.33</v>
      </c>
      <c r="AK16" t="s">
        <v>200</v>
      </c>
      <c r="AL16" t="s">
        <v>110</v>
      </c>
      <c r="AM16" t="s">
        <v>134</v>
      </c>
      <c r="AN16" s="8">
        <v>0.28000000000000003</v>
      </c>
      <c r="AP16" t="s">
        <v>106</v>
      </c>
      <c r="AQ16" t="s">
        <v>107</v>
      </c>
      <c r="AR16" t="s">
        <v>108</v>
      </c>
      <c r="AS16" s="7">
        <v>0</v>
      </c>
      <c r="AU16" t="s">
        <v>109</v>
      </c>
      <c r="AV16" t="s">
        <v>262</v>
      </c>
      <c r="AW16" t="s">
        <v>147</v>
      </c>
      <c r="AX16" s="3">
        <v>1.18</v>
      </c>
      <c r="AZ16" t="s">
        <v>220</v>
      </c>
      <c r="BA16" t="s">
        <v>285</v>
      </c>
      <c r="BB16" t="s">
        <v>145</v>
      </c>
      <c r="BC16" s="3">
        <v>1.04</v>
      </c>
      <c r="BE16" t="s">
        <v>106</v>
      </c>
      <c r="BF16" t="s">
        <v>238</v>
      </c>
      <c r="BG16" t="s">
        <v>131</v>
      </c>
      <c r="BH16" s="8">
        <v>0.27</v>
      </c>
      <c r="BJ16" t="s">
        <v>200</v>
      </c>
      <c r="BK16" t="s">
        <v>249</v>
      </c>
      <c r="BL16" t="s">
        <v>117</v>
      </c>
      <c r="BM16" s="3">
        <v>0.57999999999999996</v>
      </c>
      <c r="BO16" t="s">
        <v>106</v>
      </c>
      <c r="BP16" t="s">
        <v>107</v>
      </c>
      <c r="BQ16" t="s">
        <v>108</v>
      </c>
      <c r="BR16" s="7">
        <v>0</v>
      </c>
      <c r="BT16" t="s">
        <v>265</v>
      </c>
      <c r="BU16" t="s">
        <v>183</v>
      </c>
      <c r="BV16" t="s">
        <v>140</v>
      </c>
      <c r="BW16" s="8">
        <v>0.44</v>
      </c>
      <c r="BY16" t="s">
        <v>118</v>
      </c>
      <c r="BZ16" t="s">
        <v>150</v>
      </c>
      <c r="CA16" t="s">
        <v>170</v>
      </c>
      <c r="CB16" s="8">
        <v>0.37</v>
      </c>
      <c r="CD16" t="s">
        <v>251</v>
      </c>
      <c r="CE16" t="s">
        <v>110</v>
      </c>
      <c r="CF16" t="s">
        <v>178</v>
      </c>
      <c r="CG16" s="8">
        <v>0.16</v>
      </c>
      <c r="CI16" t="s">
        <v>106</v>
      </c>
      <c r="CJ16" t="s">
        <v>107</v>
      </c>
      <c r="CK16" t="s">
        <v>108</v>
      </c>
      <c r="CL16" s="7">
        <v>0</v>
      </c>
      <c r="CN16" t="s">
        <v>304</v>
      </c>
      <c r="CO16" t="s">
        <v>305</v>
      </c>
      <c r="CP16" t="s">
        <v>111</v>
      </c>
      <c r="CQ16" s="2">
        <v>2.66</v>
      </c>
      <c r="CS16" t="s">
        <v>306</v>
      </c>
      <c r="CT16" t="s">
        <v>150</v>
      </c>
      <c r="CU16" t="s">
        <v>117</v>
      </c>
      <c r="CV16" s="6">
        <v>-0.82</v>
      </c>
      <c r="CX16" t="s">
        <v>300</v>
      </c>
      <c r="CY16" t="s">
        <v>183</v>
      </c>
      <c r="CZ16" t="s">
        <v>147</v>
      </c>
      <c r="DA16" s="6">
        <v>-1.6</v>
      </c>
      <c r="DC16" t="s">
        <v>152</v>
      </c>
      <c r="DD16" t="s">
        <v>107</v>
      </c>
      <c r="DE16" t="s">
        <v>111</v>
      </c>
      <c r="DF16" s="8">
        <v>0.05</v>
      </c>
      <c r="DH16" t="s">
        <v>216</v>
      </c>
      <c r="DI16" t="s">
        <v>110</v>
      </c>
      <c r="DJ16" t="s">
        <v>145</v>
      </c>
      <c r="DK16" s="8">
        <v>0.01</v>
      </c>
      <c r="DM16" t="s">
        <v>152</v>
      </c>
      <c r="DN16" t="s">
        <v>196</v>
      </c>
      <c r="DO16" t="s">
        <v>147</v>
      </c>
      <c r="DP16" s="3">
        <v>0.62</v>
      </c>
      <c r="DR16" t="s">
        <v>192</v>
      </c>
      <c r="DS16" t="s">
        <v>249</v>
      </c>
      <c r="DT16" t="s">
        <v>136</v>
      </c>
      <c r="DU16" s="3">
        <v>0.64</v>
      </c>
      <c r="DW16" t="s">
        <v>251</v>
      </c>
      <c r="DX16" t="s">
        <v>127</v>
      </c>
      <c r="DY16" t="s">
        <v>142</v>
      </c>
      <c r="DZ16" s="8">
        <v>0.14000000000000001</v>
      </c>
      <c r="EB16" t="s">
        <v>106</v>
      </c>
      <c r="EC16" t="s">
        <v>107</v>
      </c>
      <c r="ED16" t="s">
        <v>108</v>
      </c>
      <c r="EE16" s="7">
        <v>0</v>
      </c>
      <c r="EG16" t="s">
        <v>106</v>
      </c>
      <c r="EH16" t="s">
        <v>107</v>
      </c>
      <c r="EI16" t="s">
        <v>108</v>
      </c>
      <c r="EJ16" s="7">
        <v>0</v>
      </c>
      <c r="EL16" t="s">
        <v>106</v>
      </c>
      <c r="EM16" t="s">
        <v>107</v>
      </c>
      <c r="EN16" t="s">
        <v>108</v>
      </c>
      <c r="EO16" s="7">
        <v>0</v>
      </c>
      <c r="EQ16" t="s">
        <v>106</v>
      </c>
      <c r="ER16" t="s">
        <v>107</v>
      </c>
      <c r="ES16" t="s">
        <v>108</v>
      </c>
      <c r="ET16" s="7">
        <v>0</v>
      </c>
      <c r="EV16" t="s">
        <v>298</v>
      </c>
      <c r="EW16" t="s">
        <v>307</v>
      </c>
      <c r="EX16" t="s">
        <v>117</v>
      </c>
      <c r="EY16" s="3">
        <v>0.56000000000000005</v>
      </c>
      <c r="FA16" t="s">
        <v>106</v>
      </c>
      <c r="FB16" t="s">
        <v>107</v>
      </c>
      <c r="FC16" t="s">
        <v>108</v>
      </c>
      <c r="FD16" s="7">
        <v>0</v>
      </c>
      <c r="FF16" t="s">
        <v>106</v>
      </c>
      <c r="FG16" t="s">
        <v>107</v>
      </c>
      <c r="FH16" t="s">
        <v>108</v>
      </c>
      <c r="FI16" s="7">
        <v>0</v>
      </c>
      <c r="FK16" t="s">
        <v>279</v>
      </c>
      <c r="FL16" t="s">
        <v>249</v>
      </c>
      <c r="FM16" t="s">
        <v>119</v>
      </c>
      <c r="FN16" s="3">
        <v>0.56000000000000005</v>
      </c>
      <c r="FP16" t="s">
        <v>279</v>
      </c>
      <c r="FQ16" t="s">
        <v>174</v>
      </c>
      <c r="FR16" t="s">
        <v>131</v>
      </c>
      <c r="FS16" s="8">
        <v>0.43</v>
      </c>
      <c r="FU16" s="14" t="s">
        <v>106</v>
      </c>
      <c r="FV16" t="s">
        <v>110</v>
      </c>
      <c r="FW16" t="s">
        <v>111</v>
      </c>
      <c r="FX16" s="8">
        <v>0.45</v>
      </c>
      <c r="FZ16" t="s">
        <v>106</v>
      </c>
      <c r="GA16" t="s">
        <v>107</v>
      </c>
      <c r="GB16" t="s">
        <v>108</v>
      </c>
      <c r="GC16" s="7">
        <v>0</v>
      </c>
      <c r="GE16" t="s">
        <v>106</v>
      </c>
      <c r="GF16" t="s">
        <v>107</v>
      </c>
      <c r="GG16" t="s">
        <v>108</v>
      </c>
      <c r="GH16" s="7">
        <v>0</v>
      </c>
      <c r="GJ16" t="s">
        <v>279</v>
      </c>
      <c r="GK16" t="s">
        <v>308</v>
      </c>
      <c r="GL16" t="s">
        <v>140</v>
      </c>
      <c r="GM16" s="8">
        <v>0.2</v>
      </c>
      <c r="GO16" t="s">
        <v>120</v>
      </c>
      <c r="GP16" t="s">
        <v>110</v>
      </c>
      <c r="GQ16" t="s">
        <v>147</v>
      </c>
      <c r="GR16" s="3">
        <v>0.79</v>
      </c>
      <c r="GT16" t="s">
        <v>212</v>
      </c>
      <c r="GU16" t="s">
        <v>301</v>
      </c>
      <c r="GV16" t="s">
        <v>114</v>
      </c>
      <c r="GW16" s="2">
        <v>2.27</v>
      </c>
    </row>
    <row r="17" spans="1:205" x14ac:dyDescent="0.25">
      <c r="A17" t="s">
        <v>309</v>
      </c>
      <c r="B17" t="s">
        <v>149</v>
      </c>
      <c r="C17" t="s">
        <v>196</v>
      </c>
      <c r="D17" t="s">
        <v>145</v>
      </c>
      <c r="E17" s="3">
        <v>0.69</v>
      </c>
      <c r="G17" t="s">
        <v>109</v>
      </c>
      <c r="H17" t="s">
        <v>110</v>
      </c>
      <c r="I17" t="s">
        <v>117</v>
      </c>
      <c r="J17" s="8">
        <v>0.43</v>
      </c>
      <c r="L17" t="s">
        <v>106</v>
      </c>
      <c r="M17" t="s">
        <v>107</v>
      </c>
      <c r="N17" t="s">
        <v>108</v>
      </c>
      <c r="O17" s="7">
        <v>0</v>
      </c>
      <c r="Q17" t="s">
        <v>281</v>
      </c>
      <c r="R17" t="s">
        <v>122</v>
      </c>
      <c r="S17" t="s">
        <v>142</v>
      </c>
      <c r="T17" s="3">
        <v>0.86</v>
      </c>
      <c r="V17" t="s">
        <v>106</v>
      </c>
      <c r="W17" t="s">
        <v>107</v>
      </c>
      <c r="X17" t="s">
        <v>108</v>
      </c>
      <c r="Y17" s="7">
        <v>0</v>
      </c>
      <c r="AA17" t="s">
        <v>310</v>
      </c>
      <c r="AB17" t="s">
        <v>196</v>
      </c>
      <c r="AC17" t="s">
        <v>111</v>
      </c>
      <c r="AD17" s="3">
        <v>0.99</v>
      </c>
      <c r="AF17" t="s">
        <v>203</v>
      </c>
      <c r="AG17" t="s">
        <v>150</v>
      </c>
      <c r="AH17" t="s">
        <v>117</v>
      </c>
      <c r="AI17" s="9">
        <v>-0.05</v>
      </c>
      <c r="AK17" t="s">
        <v>106</v>
      </c>
      <c r="AL17" t="s">
        <v>107</v>
      </c>
      <c r="AM17" t="s">
        <v>108</v>
      </c>
      <c r="AN17" s="7">
        <v>0</v>
      </c>
      <c r="AP17" t="s">
        <v>106</v>
      </c>
      <c r="AQ17" t="s">
        <v>107</v>
      </c>
      <c r="AR17" t="s">
        <v>108</v>
      </c>
      <c r="AS17" s="7">
        <v>0</v>
      </c>
      <c r="AU17" t="s">
        <v>241</v>
      </c>
      <c r="AV17" t="s">
        <v>260</v>
      </c>
      <c r="AW17" t="s">
        <v>147</v>
      </c>
      <c r="AX17" s="3">
        <v>0.84</v>
      </c>
      <c r="AZ17" t="s">
        <v>200</v>
      </c>
      <c r="BA17" t="s">
        <v>311</v>
      </c>
      <c r="BB17" t="s">
        <v>178</v>
      </c>
      <c r="BC17" s="3">
        <v>1.51</v>
      </c>
      <c r="BE17" t="s">
        <v>220</v>
      </c>
      <c r="BF17" t="s">
        <v>113</v>
      </c>
      <c r="BG17" t="s">
        <v>145</v>
      </c>
      <c r="BH17" s="8">
        <v>0.49</v>
      </c>
      <c r="BJ17" t="s">
        <v>106</v>
      </c>
      <c r="BK17" t="s">
        <v>107</v>
      </c>
      <c r="BL17" t="s">
        <v>108</v>
      </c>
      <c r="BM17" s="7">
        <v>0</v>
      </c>
      <c r="BO17" t="s">
        <v>239</v>
      </c>
      <c r="BP17" t="s">
        <v>110</v>
      </c>
      <c r="BQ17" t="s">
        <v>147</v>
      </c>
      <c r="BR17" s="3">
        <v>0.92</v>
      </c>
      <c r="BT17" t="s">
        <v>106</v>
      </c>
      <c r="BU17" t="s">
        <v>107</v>
      </c>
      <c r="BV17" t="s">
        <v>108</v>
      </c>
      <c r="BW17" s="7">
        <v>0</v>
      </c>
      <c r="BY17" t="s">
        <v>265</v>
      </c>
      <c r="BZ17" t="s">
        <v>312</v>
      </c>
      <c r="CA17" t="s">
        <v>131</v>
      </c>
      <c r="CB17" s="3">
        <v>1.38</v>
      </c>
      <c r="CD17" t="s">
        <v>220</v>
      </c>
      <c r="CE17" t="s">
        <v>139</v>
      </c>
      <c r="CF17" t="s">
        <v>136</v>
      </c>
      <c r="CG17" s="3">
        <v>0.53</v>
      </c>
      <c r="CI17" t="s">
        <v>106</v>
      </c>
      <c r="CJ17" t="s">
        <v>107</v>
      </c>
      <c r="CK17" t="s">
        <v>108</v>
      </c>
      <c r="CL17" s="7">
        <v>0</v>
      </c>
      <c r="CN17" t="s">
        <v>220</v>
      </c>
      <c r="CO17" t="s">
        <v>313</v>
      </c>
      <c r="CP17" t="s">
        <v>111</v>
      </c>
      <c r="CQ17" s="3">
        <v>1.63</v>
      </c>
      <c r="CS17" t="s">
        <v>314</v>
      </c>
      <c r="CT17" t="s">
        <v>315</v>
      </c>
      <c r="CU17" t="s">
        <v>117</v>
      </c>
      <c r="CV17" s="2">
        <v>3.97</v>
      </c>
      <c r="CX17" t="s">
        <v>316</v>
      </c>
      <c r="CY17" t="s">
        <v>148</v>
      </c>
      <c r="CZ17" t="s">
        <v>147</v>
      </c>
      <c r="DA17" s="6">
        <v>-1.74</v>
      </c>
      <c r="DC17" t="s">
        <v>152</v>
      </c>
      <c r="DD17" t="s">
        <v>157</v>
      </c>
      <c r="DE17" t="s">
        <v>147</v>
      </c>
      <c r="DF17" s="8">
        <v>0.37</v>
      </c>
      <c r="DH17" t="s">
        <v>106</v>
      </c>
      <c r="DI17" t="s">
        <v>107</v>
      </c>
      <c r="DJ17" t="s">
        <v>108</v>
      </c>
      <c r="DK17" s="7">
        <v>0</v>
      </c>
      <c r="DM17" t="s">
        <v>179</v>
      </c>
      <c r="DN17" t="s">
        <v>196</v>
      </c>
      <c r="DO17" t="s">
        <v>123</v>
      </c>
      <c r="DP17" s="8">
        <v>0.31</v>
      </c>
      <c r="DR17" t="s">
        <v>200</v>
      </c>
      <c r="DS17" t="s">
        <v>317</v>
      </c>
      <c r="DT17" t="s">
        <v>125</v>
      </c>
      <c r="DU17" s="3">
        <v>1.37</v>
      </c>
      <c r="DW17" t="s">
        <v>195</v>
      </c>
      <c r="DX17" t="s">
        <v>183</v>
      </c>
      <c r="DY17" t="s">
        <v>117</v>
      </c>
      <c r="DZ17" s="3">
        <v>0.77</v>
      </c>
      <c r="EB17" t="s">
        <v>106</v>
      </c>
      <c r="EC17" t="s">
        <v>107</v>
      </c>
      <c r="ED17" t="s">
        <v>108</v>
      </c>
      <c r="EE17" s="7">
        <v>0</v>
      </c>
      <c r="EG17" t="s">
        <v>106</v>
      </c>
      <c r="EH17" t="s">
        <v>107</v>
      </c>
      <c r="EI17" t="s">
        <v>108</v>
      </c>
      <c r="EJ17" s="7">
        <v>0</v>
      </c>
      <c r="EL17" t="s">
        <v>216</v>
      </c>
      <c r="EM17" t="s">
        <v>271</v>
      </c>
      <c r="EN17" t="s">
        <v>140</v>
      </c>
      <c r="EO17" s="8">
        <v>0.45</v>
      </c>
      <c r="EQ17" t="s">
        <v>210</v>
      </c>
      <c r="ER17" t="s">
        <v>113</v>
      </c>
      <c r="ES17" t="s">
        <v>123</v>
      </c>
      <c r="ET17" s="3">
        <v>1</v>
      </c>
      <c r="EV17" t="s">
        <v>106</v>
      </c>
      <c r="EW17" t="s">
        <v>107</v>
      </c>
      <c r="EX17" t="s">
        <v>108</v>
      </c>
      <c r="EY17" s="7">
        <v>0</v>
      </c>
      <c r="FA17" t="s">
        <v>318</v>
      </c>
      <c r="FB17" t="s">
        <v>319</v>
      </c>
      <c r="FC17" t="s">
        <v>145</v>
      </c>
      <c r="FD17" s="3">
        <v>1.41</v>
      </c>
      <c r="FF17" t="s">
        <v>106</v>
      </c>
      <c r="FG17" t="s">
        <v>107</v>
      </c>
      <c r="FH17" t="s">
        <v>108</v>
      </c>
      <c r="FI17" s="7">
        <v>0</v>
      </c>
      <c r="FK17" t="s">
        <v>192</v>
      </c>
      <c r="FL17" t="s">
        <v>183</v>
      </c>
      <c r="FM17" t="s">
        <v>131</v>
      </c>
      <c r="FN17" s="8">
        <v>0.49</v>
      </c>
      <c r="FP17" t="s">
        <v>151</v>
      </c>
      <c r="FQ17" t="s">
        <v>249</v>
      </c>
      <c r="FR17" t="s">
        <v>134</v>
      </c>
      <c r="FS17" s="8">
        <v>0.41</v>
      </c>
      <c r="FU17" s="14" t="s">
        <v>151</v>
      </c>
      <c r="FV17" t="s">
        <v>127</v>
      </c>
      <c r="FW17" t="s">
        <v>111</v>
      </c>
      <c r="FX17" s="3">
        <v>0.52</v>
      </c>
      <c r="FZ17" t="s">
        <v>132</v>
      </c>
      <c r="GA17" t="s">
        <v>133</v>
      </c>
      <c r="GB17" t="s">
        <v>131</v>
      </c>
      <c r="GC17" s="8">
        <v>0.28999999999999998</v>
      </c>
      <c r="GE17" t="s">
        <v>106</v>
      </c>
      <c r="GF17" t="s">
        <v>107</v>
      </c>
      <c r="GG17" t="s">
        <v>108</v>
      </c>
      <c r="GH17" s="7">
        <v>0</v>
      </c>
      <c r="GJ17" t="s">
        <v>192</v>
      </c>
      <c r="GK17" t="s">
        <v>150</v>
      </c>
      <c r="GL17" t="s">
        <v>147</v>
      </c>
      <c r="GM17" s="3">
        <v>0.64</v>
      </c>
      <c r="GO17" t="s">
        <v>320</v>
      </c>
      <c r="GP17" t="s">
        <v>307</v>
      </c>
      <c r="GQ17" t="s">
        <v>134</v>
      </c>
      <c r="GR17" s="3">
        <v>1.22</v>
      </c>
      <c r="GT17" t="s">
        <v>321</v>
      </c>
      <c r="GU17" t="s">
        <v>271</v>
      </c>
      <c r="GV17" t="s">
        <v>119</v>
      </c>
      <c r="GW17" s="3">
        <v>1.46</v>
      </c>
    </row>
    <row r="18" spans="1:205" x14ac:dyDescent="0.25">
      <c r="A18" t="s">
        <v>322</v>
      </c>
      <c r="B18" t="s">
        <v>152</v>
      </c>
      <c r="C18" t="s">
        <v>240</v>
      </c>
      <c r="D18" t="s">
        <v>117</v>
      </c>
      <c r="E18" s="3">
        <v>0.8</v>
      </c>
      <c r="G18" t="s">
        <v>190</v>
      </c>
      <c r="H18" t="s">
        <v>133</v>
      </c>
      <c r="I18" t="s">
        <v>123</v>
      </c>
      <c r="J18" s="8">
        <v>0.44</v>
      </c>
      <c r="L18" t="s">
        <v>106</v>
      </c>
      <c r="M18" t="s">
        <v>107</v>
      </c>
      <c r="N18" t="s">
        <v>108</v>
      </c>
      <c r="O18" s="7">
        <v>0</v>
      </c>
      <c r="Q18" t="s">
        <v>146</v>
      </c>
      <c r="R18" t="s">
        <v>233</v>
      </c>
      <c r="S18" t="s">
        <v>108</v>
      </c>
      <c r="T18" s="8">
        <v>0.45</v>
      </c>
      <c r="V18" t="s">
        <v>106</v>
      </c>
      <c r="W18" t="s">
        <v>107</v>
      </c>
      <c r="X18" t="s">
        <v>108</v>
      </c>
      <c r="Y18" s="7">
        <v>0</v>
      </c>
      <c r="AA18" t="s">
        <v>275</v>
      </c>
      <c r="AB18" t="s">
        <v>110</v>
      </c>
      <c r="AC18" t="s">
        <v>178</v>
      </c>
      <c r="AD18" s="3">
        <v>0.74</v>
      </c>
      <c r="AF18" t="s">
        <v>213</v>
      </c>
      <c r="AG18" t="s">
        <v>157</v>
      </c>
      <c r="AH18" t="s">
        <v>136</v>
      </c>
      <c r="AI18" s="9">
        <v>-0.44</v>
      </c>
      <c r="AK18" t="s">
        <v>106</v>
      </c>
      <c r="AL18" t="s">
        <v>107</v>
      </c>
      <c r="AM18" t="s">
        <v>108</v>
      </c>
      <c r="AN18" s="7">
        <v>0</v>
      </c>
      <c r="AP18" t="s">
        <v>106</v>
      </c>
      <c r="AQ18" t="s">
        <v>107</v>
      </c>
      <c r="AR18" t="s">
        <v>108</v>
      </c>
      <c r="AS18" s="7">
        <v>0</v>
      </c>
      <c r="AU18" t="s">
        <v>106</v>
      </c>
      <c r="AV18" t="s">
        <v>110</v>
      </c>
      <c r="AW18" t="s">
        <v>142</v>
      </c>
      <c r="AX18" s="8">
        <v>0.32</v>
      </c>
      <c r="AZ18" t="s">
        <v>200</v>
      </c>
      <c r="BA18" t="s">
        <v>258</v>
      </c>
      <c r="BB18" t="s">
        <v>145</v>
      </c>
      <c r="BC18" s="3">
        <v>0.77</v>
      </c>
      <c r="BE18" t="s">
        <v>124</v>
      </c>
      <c r="BF18" t="s">
        <v>133</v>
      </c>
      <c r="BG18" t="s">
        <v>125</v>
      </c>
      <c r="BH18" s="3">
        <v>0.56999999999999995</v>
      </c>
      <c r="BJ18" t="s">
        <v>220</v>
      </c>
      <c r="BK18" t="s">
        <v>110</v>
      </c>
      <c r="BL18" t="s">
        <v>134</v>
      </c>
      <c r="BM18" s="8">
        <v>0.33</v>
      </c>
      <c r="BO18" t="s">
        <v>106</v>
      </c>
      <c r="BP18" t="s">
        <v>107</v>
      </c>
      <c r="BQ18" t="s">
        <v>108</v>
      </c>
      <c r="BR18" s="7">
        <v>0</v>
      </c>
      <c r="BT18" t="s">
        <v>106</v>
      </c>
      <c r="BU18" t="s">
        <v>107</v>
      </c>
      <c r="BV18" t="s">
        <v>108</v>
      </c>
      <c r="BW18" s="7">
        <v>0</v>
      </c>
      <c r="BY18" t="s">
        <v>200</v>
      </c>
      <c r="BZ18" t="s">
        <v>133</v>
      </c>
      <c r="CA18" t="s">
        <v>147</v>
      </c>
      <c r="CB18" s="8">
        <v>0.41</v>
      </c>
      <c r="CD18" t="s">
        <v>254</v>
      </c>
      <c r="CE18" t="s">
        <v>110</v>
      </c>
      <c r="CF18" t="s">
        <v>131</v>
      </c>
      <c r="CG18" s="8">
        <v>7.0000000000000007E-2</v>
      </c>
      <c r="CI18" t="s">
        <v>106</v>
      </c>
      <c r="CJ18" t="s">
        <v>107</v>
      </c>
      <c r="CK18" t="s">
        <v>108</v>
      </c>
      <c r="CL18" s="7">
        <v>0</v>
      </c>
      <c r="CN18" t="s">
        <v>190</v>
      </c>
      <c r="CO18" t="s">
        <v>323</v>
      </c>
      <c r="CP18" t="s">
        <v>131</v>
      </c>
      <c r="CQ18" s="3">
        <v>1.87</v>
      </c>
      <c r="CS18" t="s">
        <v>324</v>
      </c>
      <c r="CT18" t="s">
        <v>110</v>
      </c>
      <c r="CU18" t="s">
        <v>131</v>
      </c>
      <c r="CV18" s="3">
        <v>0.56999999999999995</v>
      </c>
      <c r="CX18" t="s">
        <v>325</v>
      </c>
      <c r="CY18" t="s">
        <v>110</v>
      </c>
      <c r="CZ18" t="s">
        <v>175</v>
      </c>
      <c r="DA18" s="4">
        <v>-6.91</v>
      </c>
      <c r="DC18" t="s">
        <v>212</v>
      </c>
      <c r="DD18" t="s">
        <v>296</v>
      </c>
      <c r="DE18" t="s">
        <v>140</v>
      </c>
      <c r="DF18" s="8">
        <v>0.12</v>
      </c>
      <c r="DH18" t="s">
        <v>326</v>
      </c>
      <c r="DI18" t="s">
        <v>122</v>
      </c>
      <c r="DJ18" t="s">
        <v>114</v>
      </c>
      <c r="DK18" s="5">
        <v>-3.48</v>
      </c>
      <c r="DM18" t="s">
        <v>190</v>
      </c>
      <c r="DN18" t="s">
        <v>196</v>
      </c>
      <c r="DO18" t="s">
        <v>134</v>
      </c>
      <c r="DP18" s="3">
        <v>0.54</v>
      </c>
      <c r="DR18" t="s">
        <v>261</v>
      </c>
      <c r="DS18" t="s">
        <v>113</v>
      </c>
      <c r="DT18" t="s">
        <v>170</v>
      </c>
      <c r="DU18" s="3">
        <v>0.74</v>
      </c>
      <c r="DW18" t="s">
        <v>216</v>
      </c>
      <c r="DX18" t="s">
        <v>185</v>
      </c>
      <c r="DY18" t="s">
        <v>136</v>
      </c>
      <c r="DZ18" s="8">
        <v>0.23</v>
      </c>
      <c r="EB18" t="s">
        <v>106</v>
      </c>
      <c r="EC18" t="s">
        <v>107</v>
      </c>
      <c r="ED18" t="s">
        <v>108</v>
      </c>
      <c r="EE18" s="7">
        <v>0</v>
      </c>
      <c r="EG18" t="s">
        <v>106</v>
      </c>
      <c r="EH18" t="s">
        <v>107</v>
      </c>
      <c r="EI18" t="s">
        <v>108</v>
      </c>
      <c r="EJ18" s="7">
        <v>0</v>
      </c>
      <c r="EL18" t="s">
        <v>248</v>
      </c>
      <c r="EM18" t="s">
        <v>130</v>
      </c>
      <c r="EN18" t="s">
        <v>145</v>
      </c>
      <c r="EO18" s="8">
        <v>0.26</v>
      </c>
      <c r="EQ18" t="s">
        <v>327</v>
      </c>
      <c r="ER18" t="s">
        <v>223</v>
      </c>
      <c r="ES18" t="s">
        <v>178</v>
      </c>
      <c r="ET18" s="3">
        <v>1.39</v>
      </c>
      <c r="EV18" t="s">
        <v>270</v>
      </c>
      <c r="EW18" t="s">
        <v>148</v>
      </c>
      <c r="EX18" t="s">
        <v>114</v>
      </c>
      <c r="EY18" s="3">
        <v>0.75</v>
      </c>
      <c r="FA18" t="s">
        <v>106</v>
      </c>
      <c r="FB18" t="s">
        <v>107</v>
      </c>
      <c r="FC18" t="s">
        <v>108</v>
      </c>
      <c r="FD18" s="7">
        <v>0</v>
      </c>
      <c r="FF18" t="s">
        <v>106</v>
      </c>
      <c r="FG18" t="s">
        <v>107</v>
      </c>
      <c r="FH18" t="s">
        <v>108</v>
      </c>
      <c r="FI18" s="7">
        <v>0</v>
      </c>
      <c r="FK18" t="s">
        <v>149</v>
      </c>
      <c r="FL18" t="s">
        <v>133</v>
      </c>
      <c r="FM18" t="s">
        <v>136</v>
      </c>
      <c r="FN18" s="3">
        <v>0.76</v>
      </c>
      <c r="FP18" t="s">
        <v>109</v>
      </c>
      <c r="FQ18" t="s">
        <v>252</v>
      </c>
      <c r="FR18" t="s">
        <v>170</v>
      </c>
      <c r="FS18" s="3">
        <v>0.56999999999999995</v>
      </c>
      <c r="FU18" s="14" t="s">
        <v>194</v>
      </c>
      <c r="FV18" t="s">
        <v>328</v>
      </c>
      <c r="FW18" t="s">
        <v>123</v>
      </c>
      <c r="FX18" s="3">
        <v>0.68</v>
      </c>
      <c r="FZ18" t="s">
        <v>251</v>
      </c>
      <c r="GA18" t="s">
        <v>233</v>
      </c>
      <c r="GB18" t="s">
        <v>145</v>
      </c>
      <c r="GC18" s="8">
        <v>0.19</v>
      </c>
      <c r="GE18" t="s">
        <v>106</v>
      </c>
      <c r="GF18" t="s">
        <v>107</v>
      </c>
      <c r="GG18" t="s">
        <v>108</v>
      </c>
      <c r="GH18" s="7">
        <v>0</v>
      </c>
      <c r="GJ18" t="s">
        <v>106</v>
      </c>
      <c r="GK18" t="s">
        <v>107</v>
      </c>
      <c r="GL18" t="s">
        <v>108</v>
      </c>
      <c r="GM18" s="7">
        <v>0</v>
      </c>
      <c r="GO18" t="s">
        <v>120</v>
      </c>
      <c r="GP18" t="s">
        <v>137</v>
      </c>
      <c r="GQ18" t="s">
        <v>131</v>
      </c>
      <c r="GR18" s="8">
        <v>0.49</v>
      </c>
      <c r="GT18" t="s">
        <v>109</v>
      </c>
      <c r="GU18" t="s">
        <v>127</v>
      </c>
      <c r="GV18" t="s">
        <v>170</v>
      </c>
      <c r="GW18" s="8">
        <v>0.28999999999999998</v>
      </c>
    </row>
    <row r="19" spans="1:205" x14ac:dyDescent="0.25">
      <c r="A19" t="s">
        <v>329</v>
      </c>
      <c r="B19" t="s">
        <v>106</v>
      </c>
      <c r="C19" t="s">
        <v>107</v>
      </c>
      <c r="D19" t="s">
        <v>108</v>
      </c>
      <c r="E19" s="7">
        <v>0</v>
      </c>
      <c r="G19" t="s">
        <v>192</v>
      </c>
      <c r="H19" t="s">
        <v>238</v>
      </c>
      <c r="I19" t="s">
        <v>142</v>
      </c>
      <c r="J19" s="8">
        <v>0.44</v>
      </c>
      <c r="L19" t="s">
        <v>106</v>
      </c>
      <c r="M19" t="s">
        <v>107</v>
      </c>
      <c r="N19" t="s">
        <v>108</v>
      </c>
      <c r="O19" s="7">
        <v>0</v>
      </c>
      <c r="Q19" t="s">
        <v>192</v>
      </c>
      <c r="R19" t="s">
        <v>225</v>
      </c>
      <c r="S19" t="s">
        <v>140</v>
      </c>
      <c r="T19" s="3">
        <v>1</v>
      </c>
      <c r="V19" t="s">
        <v>106</v>
      </c>
      <c r="W19" t="s">
        <v>107</v>
      </c>
      <c r="X19" t="s">
        <v>108</v>
      </c>
      <c r="Y19" s="7">
        <v>0</v>
      </c>
      <c r="AA19" t="s">
        <v>106</v>
      </c>
      <c r="AB19" t="s">
        <v>107</v>
      </c>
      <c r="AC19" t="s">
        <v>108</v>
      </c>
      <c r="AD19" s="7">
        <v>0</v>
      </c>
      <c r="AF19" t="s">
        <v>106</v>
      </c>
      <c r="AG19" t="s">
        <v>107</v>
      </c>
      <c r="AH19" t="s">
        <v>108</v>
      </c>
      <c r="AI19" s="7">
        <v>0</v>
      </c>
      <c r="AK19" t="s">
        <v>190</v>
      </c>
      <c r="AL19" t="s">
        <v>133</v>
      </c>
      <c r="AM19" t="s">
        <v>114</v>
      </c>
      <c r="AN19" s="3">
        <v>0.52</v>
      </c>
      <c r="AP19" t="s">
        <v>106</v>
      </c>
      <c r="AQ19" t="s">
        <v>107</v>
      </c>
      <c r="AR19" t="s">
        <v>108</v>
      </c>
      <c r="AS19" s="7">
        <v>0</v>
      </c>
      <c r="AU19" t="s">
        <v>190</v>
      </c>
      <c r="AV19" t="s">
        <v>130</v>
      </c>
      <c r="AW19" t="s">
        <v>114</v>
      </c>
      <c r="AX19" s="3">
        <v>0.77</v>
      </c>
      <c r="AZ19" t="s">
        <v>106</v>
      </c>
      <c r="BA19" t="s">
        <v>107</v>
      </c>
      <c r="BB19" t="s">
        <v>108</v>
      </c>
      <c r="BC19" s="7">
        <v>0</v>
      </c>
      <c r="BE19" t="s">
        <v>109</v>
      </c>
      <c r="BF19" t="s">
        <v>127</v>
      </c>
      <c r="BG19" t="s">
        <v>170</v>
      </c>
      <c r="BH19" s="8">
        <v>0.3</v>
      </c>
      <c r="BJ19" t="s">
        <v>152</v>
      </c>
      <c r="BK19" t="s">
        <v>110</v>
      </c>
      <c r="BL19" t="s">
        <v>108</v>
      </c>
      <c r="BM19" s="3">
        <v>0.55000000000000004</v>
      </c>
      <c r="BO19" t="s">
        <v>106</v>
      </c>
      <c r="BP19" t="s">
        <v>107</v>
      </c>
      <c r="BQ19" t="s">
        <v>108</v>
      </c>
      <c r="BR19" s="7">
        <v>0</v>
      </c>
      <c r="BT19" t="s">
        <v>106</v>
      </c>
      <c r="BU19" t="s">
        <v>107</v>
      </c>
      <c r="BV19" t="s">
        <v>108</v>
      </c>
      <c r="BW19" s="7">
        <v>0</v>
      </c>
      <c r="BY19" t="s">
        <v>279</v>
      </c>
      <c r="BZ19" t="s">
        <v>223</v>
      </c>
      <c r="CA19" t="s">
        <v>142</v>
      </c>
      <c r="CB19" s="3">
        <v>0.82</v>
      </c>
      <c r="CD19" t="s">
        <v>152</v>
      </c>
      <c r="CE19" t="s">
        <v>133</v>
      </c>
      <c r="CF19" t="s">
        <v>178</v>
      </c>
      <c r="CG19" s="3">
        <v>0.57999999999999996</v>
      </c>
      <c r="CI19" t="s">
        <v>106</v>
      </c>
      <c r="CJ19" t="s">
        <v>107</v>
      </c>
      <c r="CK19" t="s">
        <v>108</v>
      </c>
      <c r="CL19" s="7">
        <v>0</v>
      </c>
      <c r="CN19" t="s">
        <v>320</v>
      </c>
      <c r="CO19" t="s">
        <v>330</v>
      </c>
      <c r="CP19" t="s">
        <v>170</v>
      </c>
      <c r="CQ19" s="2">
        <v>4.03</v>
      </c>
      <c r="CS19" t="s">
        <v>106</v>
      </c>
      <c r="CT19" t="s">
        <v>107</v>
      </c>
      <c r="CU19" t="s">
        <v>108</v>
      </c>
      <c r="CV19" s="7">
        <v>0</v>
      </c>
      <c r="CX19" t="s">
        <v>331</v>
      </c>
      <c r="CY19" t="s">
        <v>133</v>
      </c>
      <c r="CZ19" t="s">
        <v>131</v>
      </c>
      <c r="DA19" s="5">
        <v>-3.64</v>
      </c>
      <c r="DC19" t="s">
        <v>195</v>
      </c>
      <c r="DD19" t="s">
        <v>332</v>
      </c>
      <c r="DE19" t="s">
        <v>108</v>
      </c>
      <c r="DF19" s="8">
        <v>0.11</v>
      </c>
      <c r="DH19" t="s">
        <v>106</v>
      </c>
      <c r="DI19" t="s">
        <v>107</v>
      </c>
      <c r="DJ19" t="s">
        <v>108</v>
      </c>
      <c r="DK19" s="7">
        <v>0</v>
      </c>
      <c r="DM19" t="s">
        <v>192</v>
      </c>
      <c r="DN19" t="s">
        <v>139</v>
      </c>
      <c r="DO19" t="s">
        <v>117</v>
      </c>
      <c r="DP19" s="3">
        <v>0.66</v>
      </c>
      <c r="DR19" t="s">
        <v>106</v>
      </c>
      <c r="DS19" t="s">
        <v>107</v>
      </c>
      <c r="DT19" t="s">
        <v>108</v>
      </c>
      <c r="DU19" s="7">
        <v>0</v>
      </c>
      <c r="DW19" t="s">
        <v>106</v>
      </c>
      <c r="DX19" t="s">
        <v>107</v>
      </c>
      <c r="DY19" t="s">
        <v>108</v>
      </c>
      <c r="DZ19" s="7">
        <v>0</v>
      </c>
      <c r="EB19" t="s">
        <v>106</v>
      </c>
      <c r="EC19" t="s">
        <v>107</v>
      </c>
      <c r="ED19" t="s">
        <v>108</v>
      </c>
      <c r="EE19" s="7">
        <v>0</v>
      </c>
      <c r="EG19" t="s">
        <v>106</v>
      </c>
      <c r="EH19" t="s">
        <v>107</v>
      </c>
      <c r="EI19" t="s">
        <v>108</v>
      </c>
      <c r="EJ19" s="7">
        <v>0</v>
      </c>
      <c r="EL19" t="s">
        <v>106</v>
      </c>
      <c r="EM19" t="s">
        <v>107</v>
      </c>
      <c r="EN19" t="s">
        <v>108</v>
      </c>
      <c r="EO19" s="7">
        <v>0</v>
      </c>
      <c r="EQ19" t="s">
        <v>281</v>
      </c>
      <c r="ER19" t="s">
        <v>244</v>
      </c>
      <c r="ES19" t="s">
        <v>140</v>
      </c>
      <c r="ET19" s="3">
        <v>0.69</v>
      </c>
      <c r="EV19" t="s">
        <v>106</v>
      </c>
      <c r="EW19" t="s">
        <v>107</v>
      </c>
      <c r="EX19" t="s">
        <v>108</v>
      </c>
      <c r="EY19" s="7">
        <v>0</v>
      </c>
      <c r="FA19" t="s">
        <v>106</v>
      </c>
      <c r="FB19" t="s">
        <v>107</v>
      </c>
      <c r="FC19" t="s">
        <v>108</v>
      </c>
      <c r="FD19" s="7">
        <v>0</v>
      </c>
      <c r="FF19" t="s">
        <v>106</v>
      </c>
      <c r="FG19" t="s">
        <v>107</v>
      </c>
      <c r="FH19" t="s">
        <v>108</v>
      </c>
      <c r="FI19" s="7">
        <v>0</v>
      </c>
      <c r="FK19" t="s">
        <v>106</v>
      </c>
      <c r="FL19" t="s">
        <v>107</v>
      </c>
      <c r="FM19" t="s">
        <v>108</v>
      </c>
      <c r="FN19" s="7">
        <v>0</v>
      </c>
      <c r="FP19" t="s">
        <v>106</v>
      </c>
      <c r="FQ19" t="s">
        <v>107</v>
      </c>
      <c r="FR19" t="s">
        <v>108</v>
      </c>
      <c r="FS19" s="7">
        <v>0</v>
      </c>
      <c r="FU19" s="14" t="s">
        <v>106</v>
      </c>
      <c r="FV19" t="s">
        <v>107</v>
      </c>
      <c r="FW19" t="s">
        <v>108</v>
      </c>
      <c r="FX19" s="7">
        <v>0</v>
      </c>
      <c r="FZ19" t="s">
        <v>106</v>
      </c>
      <c r="GA19" t="s">
        <v>107</v>
      </c>
      <c r="GB19" t="s">
        <v>108</v>
      </c>
      <c r="GC19" s="7">
        <v>0</v>
      </c>
      <c r="GE19" t="s">
        <v>106</v>
      </c>
      <c r="GF19" t="s">
        <v>107</v>
      </c>
      <c r="GG19" t="s">
        <v>108</v>
      </c>
      <c r="GH19" s="7">
        <v>0</v>
      </c>
      <c r="GJ19" t="s">
        <v>109</v>
      </c>
      <c r="GK19" t="s">
        <v>127</v>
      </c>
      <c r="GL19" t="s">
        <v>117</v>
      </c>
      <c r="GM19" s="8">
        <v>0.5</v>
      </c>
      <c r="GO19" t="s">
        <v>333</v>
      </c>
      <c r="GP19" t="s">
        <v>233</v>
      </c>
      <c r="GQ19" t="s">
        <v>170</v>
      </c>
      <c r="GR19" s="5">
        <v>-4.58</v>
      </c>
      <c r="GT19" t="s">
        <v>194</v>
      </c>
      <c r="GU19" t="s">
        <v>225</v>
      </c>
      <c r="GV19" t="s">
        <v>134</v>
      </c>
      <c r="GW19" s="3">
        <v>0.68</v>
      </c>
    </row>
    <row r="20" spans="1:205" x14ac:dyDescent="0.25">
      <c r="A20" t="s">
        <v>334</v>
      </c>
      <c r="B20" t="s">
        <v>115</v>
      </c>
      <c r="C20" t="s">
        <v>139</v>
      </c>
      <c r="D20" t="s">
        <v>142</v>
      </c>
      <c r="E20" s="3">
        <v>0.56000000000000005</v>
      </c>
      <c r="G20" t="s">
        <v>124</v>
      </c>
      <c r="H20" t="s">
        <v>133</v>
      </c>
      <c r="I20" t="s">
        <v>170</v>
      </c>
      <c r="J20" s="8">
        <v>0.48</v>
      </c>
      <c r="L20" t="s">
        <v>115</v>
      </c>
      <c r="M20" t="s">
        <v>110</v>
      </c>
      <c r="N20" t="s">
        <v>123</v>
      </c>
      <c r="O20" s="8">
        <v>0.44</v>
      </c>
      <c r="Q20" t="s">
        <v>124</v>
      </c>
      <c r="R20" t="s">
        <v>335</v>
      </c>
      <c r="S20" t="s">
        <v>140</v>
      </c>
      <c r="T20" s="3">
        <v>0.99</v>
      </c>
      <c r="V20" t="s">
        <v>106</v>
      </c>
      <c r="W20" t="s">
        <v>107</v>
      </c>
      <c r="X20" t="s">
        <v>108</v>
      </c>
      <c r="Y20" s="7">
        <v>0</v>
      </c>
      <c r="AA20" t="s">
        <v>124</v>
      </c>
      <c r="AB20" t="s">
        <v>205</v>
      </c>
      <c r="AC20" t="s">
        <v>140</v>
      </c>
      <c r="AD20" s="3">
        <v>0.51</v>
      </c>
      <c r="AF20" t="s">
        <v>231</v>
      </c>
      <c r="AG20" t="s">
        <v>174</v>
      </c>
      <c r="AH20" t="s">
        <v>125</v>
      </c>
      <c r="AI20" s="8">
        <v>0.19</v>
      </c>
      <c r="AK20" t="s">
        <v>190</v>
      </c>
      <c r="AL20" t="s">
        <v>110</v>
      </c>
      <c r="AM20" t="s">
        <v>123</v>
      </c>
      <c r="AN20" s="8">
        <v>0.35</v>
      </c>
      <c r="AP20" t="s">
        <v>106</v>
      </c>
      <c r="AQ20" t="s">
        <v>107</v>
      </c>
      <c r="AR20" t="s">
        <v>108</v>
      </c>
      <c r="AS20" s="7">
        <v>0</v>
      </c>
      <c r="AU20" t="s">
        <v>201</v>
      </c>
      <c r="AV20" t="s">
        <v>110</v>
      </c>
      <c r="AW20" t="s">
        <v>111</v>
      </c>
      <c r="AX20" s="8">
        <v>7.0000000000000007E-2</v>
      </c>
      <c r="AZ20" t="s">
        <v>206</v>
      </c>
      <c r="BA20" t="s">
        <v>336</v>
      </c>
      <c r="BB20" t="s">
        <v>170</v>
      </c>
      <c r="BC20" s="3">
        <v>1.32</v>
      </c>
      <c r="BE20" t="s">
        <v>106</v>
      </c>
      <c r="BF20" t="s">
        <v>107</v>
      </c>
      <c r="BG20" t="s">
        <v>108</v>
      </c>
      <c r="BH20" s="7">
        <v>0</v>
      </c>
      <c r="BJ20" t="s">
        <v>106</v>
      </c>
      <c r="BK20" t="s">
        <v>209</v>
      </c>
      <c r="BL20" t="s">
        <v>136</v>
      </c>
      <c r="BM20" s="8">
        <v>0.47</v>
      </c>
      <c r="BO20" t="s">
        <v>195</v>
      </c>
      <c r="BP20" t="s">
        <v>110</v>
      </c>
      <c r="BQ20" t="s">
        <v>136</v>
      </c>
      <c r="BR20" s="3">
        <v>0.56999999999999995</v>
      </c>
      <c r="BT20" t="s">
        <v>106</v>
      </c>
      <c r="BU20" t="s">
        <v>107</v>
      </c>
      <c r="BV20" t="s">
        <v>108</v>
      </c>
      <c r="BW20" s="7">
        <v>0</v>
      </c>
      <c r="BY20" t="s">
        <v>146</v>
      </c>
      <c r="BZ20" t="s">
        <v>223</v>
      </c>
      <c r="CA20" t="s">
        <v>134</v>
      </c>
      <c r="CB20" s="3">
        <v>0.53</v>
      </c>
      <c r="CD20" t="s">
        <v>124</v>
      </c>
      <c r="CE20" t="s">
        <v>249</v>
      </c>
      <c r="CF20" t="s">
        <v>114</v>
      </c>
      <c r="CG20" s="3">
        <v>0.59</v>
      </c>
      <c r="CI20" t="s">
        <v>106</v>
      </c>
      <c r="CJ20" t="s">
        <v>107</v>
      </c>
      <c r="CK20" t="s">
        <v>108</v>
      </c>
      <c r="CL20" s="7">
        <v>0</v>
      </c>
      <c r="CN20" t="s">
        <v>279</v>
      </c>
      <c r="CO20" t="s">
        <v>337</v>
      </c>
      <c r="CP20" t="s">
        <v>131</v>
      </c>
      <c r="CQ20" s="2">
        <v>2.29</v>
      </c>
      <c r="CS20" t="s">
        <v>106</v>
      </c>
      <c r="CT20" t="s">
        <v>107</v>
      </c>
      <c r="CU20" t="s">
        <v>108</v>
      </c>
      <c r="CV20" s="7">
        <v>0</v>
      </c>
      <c r="CX20" t="s">
        <v>338</v>
      </c>
      <c r="CY20" t="s">
        <v>139</v>
      </c>
      <c r="CZ20" t="s">
        <v>131</v>
      </c>
      <c r="DA20" s="4">
        <v>-5.8</v>
      </c>
      <c r="DC20" t="s">
        <v>195</v>
      </c>
      <c r="DD20" t="s">
        <v>110</v>
      </c>
      <c r="DE20" t="s">
        <v>147</v>
      </c>
      <c r="DF20" s="8">
        <v>0.48</v>
      </c>
      <c r="DH20" t="s">
        <v>300</v>
      </c>
      <c r="DI20" t="s">
        <v>174</v>
      </c>
      <c r="DJ20" t="s">
        <v>147</v>
      </c>
      <c r="DK20" s="6">
        <v>-1.61</v>
      </c>
      <c r="DM20" t="s">
        <v>106</v>
      </c>
      <c r="DN20" t="s">
        <v>107</v>
      </c>
      <c r="DO20" t="s">
        <v>108</v>
      </c>
      <c r="DP20" s="7">
        <v>0</v>
      </c>
      <c r="DR20" t="s">
        <v>106</v>
      </c>
      <c r="DS20" t="s">
        <v>110</v>
      </c>
      <c r="DT20" t="s">
        <v>136</v>
      </c>
      <c r="DU20" s="8">
        <v>0.43</v>
      </c>
      <c r="DW20" t="s">
        <v>318</v>
      </c>
      <c r="DX20" t="s">
        <v>249</v>
      </c>
      <c r="DY20" t="s">
        <v>131</v>
      </c>
      <c r="DZ20" s="9">
        <v>-0.24</v>
      </c>
      <c r="EB20" t="s">
        <v>106</v>
      </c>
      <c r="EC20" t="s">
        <v>107</v>
      </c>
      <c r="ED20" t="s">
        <v>108</v>
      </c>
      <c r="EE20" s="7">
        <v>0</v>
      </c>
      <c r="EG20" t="s">
        <v>106</v>
      </c>
      <c r="EH20" t="s">
        <v>107</v>
      </c>
      <c r="EI20" t="s">
        <v>108</v>
      </c>
      <c r="EJ20" s="7">
        <v>0</v>
      </c>
      <c r="EL20" t="s">
        <v>265</v>
      </c>
      <c r="EM20" t="s">
        <v>127</v>
      </c>
      <c r="EN20" t="s">
        <v>111</v>
      </c>
      <c r="EO20" s="8">
        <v>0.39</v>
      </c>
      <c r="EQ20" t="s">
        <v>106</v>
      </c>
      <c r="ER20" t="s">
        <v>107</v>
      </c>
      <c r="ES20" t="s">
        <v>108</v>
      </c>
      <c r="ET20" s="7">
        <v>0</v>
      </c>
      <c r="EV20" t="s">
        <v>115</v>
      </c>
      <c r="EW20" t="s">
        <v>205</v>
      </c>
      <c r="EX20" t="s">
        <v>147</v>
      </c>
      <c r="EY20" s="8">
        <v>0.45</v>
      </c>
      <c r="FA20" t="s">
        <v>106</v>
      </c>
      <c r="FB20" t="s">
        <v>107</v>
      </c>
      <c r="FC20" t="s">
        <v>108</v>
      </c>
      <c r="FD20" s="7">
        <v>0</v>
      </c>
      <c r="FF20" t="s">
        <v>146</v>
      </c>
      <c r="FG20" t="s">
        <v>323</v>
      </c>
      <c r="FH20" t="s">
        <v>134</v>
      </c>
      <c r="FI20" s="3">
        <v>1.69</v>
      </c>
      <c r="FK20" t="s">
        <v>220</v>
      </c>
      <c r="FL20" t="s">
        <v>133</v>
      </c>
      <c r="FM20" t="s">
        <v>131</v>
      </c>
      <c r="FN20" s="8">
        <v>0.38</v>
      </c>
      <c r="FP20" t="s">
        <v>179</v>
      </c>
      <c r="FQ20" t="s">
        <v>133</v>
      </c>
      <c r="FR20" t="s">
        <v>142</v>
      </c>
      <c r="FS20" s="8">
        <v>0.26</v>
      </c>
      <c r="FU20" s="14" t="s">
        <v>106</v>
      </c>
      <c r="FV20" t="s">
        <v>107</v>
      </c>
      <c r="FW20" t="s">
        <v>108</v>
      </c>
      <c r="FX20" s="7">
        <v>0</v>
      </c>
      <c r="FZ20" t="s">
        <v>146</v>
      </c>
      <c r="GA20" t="s">
        <v>174</v>
      </c>
      <c r="GB20" t="s">
        <v>123</v>
      </c>
      <c r="GC20" s="8">
        <v>0.22</v>
      </c>
      <c r="GE20" t="s">
        <v>259</v>
      </c>
      <c r="GF20" t="s">
        <v>205</v>
      </c>
      <c r="GG20" t="s">
        <v>170</v>
      </c>
      <c r="GH20" s="9">
        <v>-0.34</v>
      </c>
      <c r="GJ20" t="s">
        <v>156</v>
      </c>
      <c r="GK20" t="s">
        <v>150</v>
      </c>
      <c r="GL20" t="s">
        <v>145</v>
      </c>
      <c r="GM20" s="6">
        <v>-0.67</v>
      </c>
      <c r="GO20" t="s">
        <v>106</v>
      </c>
      <c r="GP20" t="s">
        <v>107</v>
      </c>
      <c r="GQ20" t="s">
        <v>108</v>
      </c>
      <c r="GR20" s="7">
        <v>0</v>
      </c>
      <c r="GT20" t="s">
        <v>200</v>
      </c>
      <c r="GU20" t="s">
        <v>223</v>
      </c>
      <c r="GV20" t="s">
        <v>142</v>
      </c>
      <c r="GW20" s="3">
        <v>0.75</v>
      </c>
    </row>
    <row r="21" spans="1:205" x14ac:dyDescent="0.25">
      <c r="A21" t="s">
        <v>339</v>
      </c>
      <c r="B21" t="s">
        <v>106</v>
      </c>
      <c r="C21" t="s">
        <v>107</v>
      </c>
      <c r="D21" t="s">
        <v>108</v>
      </c>
      <c r="E21" s="7">
        <v>0</v>
      </c>
      <c r="G21" t="s">
        <v>138</v>
      </c>
      <c r="H21" t="s">
        <v>110</v>
      </c>
      <c r="I21" t="s">
        <v>125</v>
      </c>
      <c r="J21" s="3">
        <v>0.53</v>
      </c>
      <c r="L21" t="s">
        <v>106</v>
      </c>
      <c r="M21" t="s">
        <v>107</v>
      </c>
      <c r="N21" t="s">
        <v>108</v>
      </c>
      <c r="O21" s="7">
        <v>0</v>
      </c>
      <c r="Q21" t="s">
        <v>279</v>
      </c>
      <c r="R21" t="s">
        <v>110</v>
      </c>
      <c r="S21" t="s">
        <v>131</v>
      </c>
      <c r="T21" s="8">
        <v>0.28000000000000003</v>
      </c>
      <c r="V21" t="s">
        <v>190</v>
      </c>
      <c r="W21" t="s">
        <v>157</v>
      </c>
      <c r="X21" t="s">
        <v>125</v>
      </c>
      <c r="Y21" s="8">
        <v>0.38</v>
      </c>
      <c r="AA21" t="s">
        <v>106</v>
      </c>
      <c r="AB21" t="s">
        <v>107</v>
      </c>
      <c r="AC21" t="s">
        <v>108</v>
      </c>
      <c r="AD21" s="7">
        <v>0</v>
      </c>
      <c r="AF21" t="s">
        <v>160</v>
      </c>
      <c r="AG21" t="s">
        <v>174</v>
      </c>
      <c r="AH21" t="s">
        <v>114</v>
      </c>
      <c r="AI21" s="8">
        <v>0.21</v>
      </c>
      <c r="AK21" t="s">
        <v>298</v>
      </c>
      <c r="AL21" t="s">
        <v>110</v>
      </c>
      <c r="AM21" t="s">
        <v>125</v>
      </c>
      <c r="AN21" s="3">
        <v>0.56000000000000005</v>
      </c>
      <c r="AP21" t="s">
        <v>109</v>
      </c>
      <c r="AQ21" t="s">
        <v>110</v>
      </c>
      <c r="AR21" t="s">
        <v>140</v>
      </c>
      <c r="AS21" s="8">
        <v>0.4</v>
      </c>
      <c r="AU21" t="s">
        <v>340</v>
      </c>
      <c r="AV21" t="s">
        <v>312</v>
      </c>
      <c r="AW21" t="s">
        <v>140</v>
      </c>
      <c r="AX21" s="3">
        <v>1.26</v>
      </c>
      <c r="AZ21" t="s">
        <v>206</v>
      </c>
      <c r="BA21" t="s">
        <v>341</v>
      </c>
      <c r="BB21" t="s">
        <v>170</v>
      </c>
      <c r="BC21" s="3">
        <v>1.1299999999999999</v>
      </c>
      <c r="BE21" t="s">
        <v>106</v>
      </c>
      <c r="BF21" t="s">
        <v>107</v>
      </c>
      <c r="BG21" t="s">
        <v>108</v>
      </c>
      <c r="BH21" s="7">
        <v>0</v>
      </c>
      <c r="BJ21" t="s">
        <v>106</v>
      </c>
      <c r="BK21" t="s">
        <v>107</v>
      </c>
      <c r="BL21" t="s">
        <v>108</v>
      </c>
      <c r="BM21" s="7">
        <v>0</v>
      </c>
      <c r="BO21" t="s">
        <v>342</v>
      </c>
      <c r="BP21" t="s">
        <v>157</v>
      </c>
      <c r="BQ21" t="s">
        <v>136</v>
      </c>
      <c r="BR21" s="3">
        <v>1.36</v>
      </c>
      <c r="BT21" t="s">
        <v>106</v>
      </c>
      <c r="BU21" t="s">
        <v>107</v>
      </c>
      <c r="BV21" t="s">
        <v>108</v>
      </c>
      <c r="BW21" s="7">
        <v>0</v>
      </c>
      <c r="BY21" t="s">
        <v>259</v>
      </c>
      <c r="BZ21" t="s">
        <v>139</v>
      </c>
      <c r="CA21" t="s">
        <v>170</v>
      </c>
      <c r="CB21" s="9">
        <v>-0.21</v>
      </c>
      <c r="CD21" t="s">
        <v>129</v>
      </c>
      <c r="CE21" t="s">
        <v>174</v>
      </c>
      <c r="CF21" t="s">
        <v>123</v>
      </c>
      <c r="CG21" s="3">
        <v>0.54</v>
      </c>
      <c r="CI21" t="s">
        <v>179</v>
      </c>
      <c r="CJ21" t="s">
        <v>174</v>
      </c>
      <c r="CK21" t="s">
        <v>178</v>
      </c>
      <c r="CL21" s="8">
        <v>0.37</v>
      </c>
      <c r="CN21" t="s">
        <v>279</v>
      </c>
      <c r="CO21" t="s">
        <v>308</v>
      </c>
      <c r="CP21" t="s">
        <v>134</v>
      </c>
      <c r="CQ21" s="8">
        <v>0.06</v>
      </c>
      <c r="CS21" t="s">
        <v>343</v>
      </c>
      <c r="CT21" t="s">
        <v>315</v>
      </c>
      <c r="CU21" t="s">
        <v>119</v>
      </c>
      <c r="CV21" s="3">
        <v>0.53</v>
      </c>
      <c r="CX21" t="s">
        <v>283</v>
      </c>
      <c r="CY21" t="s">
        <v>183</v>
      </c>
      <c r="CZ21" t="s">
        <v>108</v>
      </c>
      <c r="DA21" s="1">
        <v>15.54</v>
      </c>
      <c r="DC21" t="s">
        <v>106</v>
      </c>
      <c r="DD21" t="s">
        <v>107</v>
      </c>
      <c r="DE21" t="s">
        <v>108</v>
      </c>
      <c r="DF21" s="7">
        <v>0</v>
      </c>
      <c r="DH21" t="s">
        <v>106</v>
      </c>
      <c r="DI21" t="s">
        <v>107</v>
      </c>
      <c r="DJ21" t="s">
        <v>108</v>
      </c>
      <c r="DK21" s="7">
        <v>0</v>
      </c>
      <c r="DM21" t="s">
        <v>190</v>
      </c>
      <c r="DN21" t="s">
        <v>127</v>
      </c>
      <c r="DO21" t="s">
        <v>140</v>
      </c>
      <c r="DP21" s="3">
        <v>0.56000000000000005</v>
      </c>
      <c r="DR21" t="s">
        <v>298</v>
      </c>
      <c r="DS21" t="s">
        <v>263</v>
      </c>
      <c r="DT21" t="s">
        <v>134</v>
      </c>
      <c r="DU21" s="3">
        <v>1.43</v>
      </c>
      <c r="DW21" t="s">
        <v>160</v>
      </c>
      <c r="DX21" t="s">
        <v>217</v>
      </c>
      <c r="DY21" t="s">
        <v>131</v>
      </c>
      <c r="DZ21" s="8">
        <v>0.33</v>
      </c>
      <c r="EB21" t="s">
        <v>106</v>
      </c>
      <c r="EC21" t="s">
        <v>107</v>
      </c>
      <c r="ED21" t="s">
        <v>108</v>
      </c>
      <c r="EE21" s="7">
        <v>0</v>
      </c>
      <c r="EG21" t="s">
        <v>106</v>
      </c>
      <c r="EH21" t="s">
        <v>107</v>
      </c>
      <c r="EI21" t="s">
        <v>108</v>
      </c>
      <c r="EJ21" s="7">
        <v>0</v>
      </c>
      <c r="EL21" t="s">
        <v>216</v>
      </c>
      <c r="EM21" t="s">
        <v>113</v>
      </c>
      <c r="EN21" t="s">
        <v>145</v>
      </c>
      <c r="EO21" s="8">
        <v>0.21</v>
      </c>
      <c r="EQ21" t="s">
        <v>106</v>
      </c>
      <c r="ER21" t="s">
        <v>107</v>
      </c>
      <c r="ES21" t="s">
        <v>108</v>
      </c>
      <c r="ET21" s="7">
        <v>0</v>
      </c>
      <c r="EV21" t="s">
        <v>212</v>
      </c>
      <c r="EW21" t="s">
        <v>157</v>
      </c>
      <c r="EX21" t="s">
        <v>175</v>
      </c>
      <c r="EY21" s="8">
        <v>0.43</v>
      </c>
      <c r="FA21" t="s">
        <v>106</v>
      </c>
      <c r="FB21" t="s">
        <v>107</v>
      </c>
      <c r="FC21" t="s">
        <v>108</v>
      </c>
      <c r="FD21" s="7">
        <v>0</v>
      </c>
      <c r="FF21" t="s">
        <v>138</v>
      </c>
      <c r="FG21" t="s">
        <v>110</v>
      </c>
      <c r="FH21" t="s">
        <v>145</v>
      </c>
      <c r="FI21" s="8">
        <v>0.43</v>
      </c>
      <c r="FK21" t="s">
        <v>106</v>
      </c>
      <c r="FL21" t="s">
        <v>107</v>
      </c>
      <c r="FM21" t="s">
        <v>108</v>
      </c>
      <c r="FN21" s="7">
        <v>0</v>
      </c>
      <c r="FP21" t="s">
        <v>132</v>
      </c>
      <c r="FQ21" t="s">
        <v>150</v>
      </c>
      <c r="FR21" t="s">
        <v>123</v>
      </c>
      <c r="FS21" s="8">
        <v>0.44</v>
      </c>
      <c r="FU21" s="16">
        <v>0.37361111111111112</v>
      </c>
      <c r="FV21" t="s">
        <v>183</v>
      </c>
      <c r="FW21" t="s">
        <v>197</v>
      </c>
      <c r="FX21" s="12">
        <v>1.2</v>
      </c>
      <c r="FZ21" t="s">
        <v>251</v>
      </c>
      <c r="GA21" t="s">
        <v>174</v>
      </c>
      <c r="GB21" t="s">
        <v>117</v>
      </c>
      <c r="GC21" s="8">
        <v>0.36</v>
      </c>
      <c r="GE21" t="s">
        <v>132</v>
      </c>
      <c r="GF21" t="s">
        <v>233</v>
      </c>
      <c r="GG21" t="s">
        <v>117</v>
      </c>
      <c r="GH21" s="3">
        <v>0.6</v>
      </c>
      <c r="GJ21" t="s">
        <v>279</v>
      </c>
      <c r="GK21" t="s">
        <v>341</v>
      </c>
      <c r="GL21" t="s">
        <v>111</v>
      </c>
      <c r="GM21" s="3">
        <v>1.46</v>
      </c>
      <c r="GO21" t="s">
        <v>279</v>
      </c>
      <c r="GP21" t="s">
        <v>183</v>
      </c>
      <c r="GQ21" t="s">
        <v>145</v>
      </c>
      <c r="GR21" s="8">
        <v>0.46</v>
      </c>
      <c r="GT21" t="s">
        <v>261</v>
      </c>
      <c r="GU21" t="s">
        <v>223</v>
      </c>
      <c r="GV21" t="s">
        <v>119</v>
      </c>
      <c r="GW21" s="3">
        <v>1.1200000000000001</v>
      </c>
    </row>
    <row r="22" spans="1:205" x14ac:dyDescent="0.25">
      <c r="A22" t="s">
        <v>344</v>
      </c>
      <c r="B22" t="s">
        <v>128</v>
      </c>
      <c r="C22" t="s">
        <v>345</v>
      </c>
      <c r="D22" t="s">
        <v>114</v>
      </c>
      <c r="E22" s="8">
        <v>0.18</v>
      </c>
      <c r="G22" t="s">
        <v>129</v>
      </c>
      <c r="H22" t="s">
        <v>280</v>
      </c>
      <c r="I22" t="s">
        <v>170</v>
      </c>
      <c r="J22" s="3">
        <v>0.77</v>
      </c>
      <c r="L22" t="s">
        <v>106</v>
      </c>
      <c r="M22" t="s">
        <v>107</v>
      </c>
      <c r="N22" t="s">
        <v>108</v>
      </c>
      <c r="O22" s="7">
        <v>0</v>
      </c>
      <c r="Q22" t="s">
        <v>279</v>
      </c>
      <c r="R22" t="s">
        <v>133</v>
      </c>
      <c r="S22" t="s">
        <v>131</v>
      </c>
      <c r="T22" s="8">
        <v>0.38</v>
      </c>
      <c r="V22" t="s">
        <v>265</v>
      </c>
      <c r="W22" t="s">
        <v>110</v>
      </c>
      <c r="X22" t="s">
        <v>131</v>
      </c>
      <c r="Y22" s="8">
        <v>0.1</v>
      </c>
      <c r="AA22" t="s">
        <v>106</v>
      </c>
      <c r="AB22" t="s">
        <v>107</v>
      </c>
      <c r="AC22" t="s">
        <v>108</v>
      </c>
      <c r="AD22" s="7">
        <v>0</v>
      </c>
      <c r="AF22" t="s">
        <v>290</v>
      </c>
      <c r="AG22" t="s">
        <v>244</v>
      </c>
      <c r="AH22" t="s">
        <v>131</v>
      </c>
      <c r="AI22" s="6">
        <v>-0.6</v>
      </c>
      <c r="AK22" t="s">
        <v>220</v>
      </c>
      <c r="AL22" t="s">
        <v>238</v>
      </c>
      <c r="AM22" t="s">
        <v>108</v>
      </c>
      <c r="AN22" s="3">
        <v>0.52</v>
      </c>
      <c r="AP22" t="s">
        <v>106</v>
      </c>
      <c r="AQ22" t="s">
        <v>107</v>
      </c>
      <c r="AR22" t="s">
        <v>108</v>
      </c>
      <c r="AS22" s="7">
        <v>0</v>
      </c>
      <c r="AU22" t="s">
        <v>201</v>
      </c>
      <c r="AV22" t="s">
        <v>246</v>
      </c>
      <c r="AW22" t="s">
        <v>125</v>
      </c>
      <c r="AX22" s="3">
        <v>1.1499999999999999</v>
      </c>
      <c r="AZ22" t="s">
        <v>242</v>
      </c>
      <c r="BA22" t="s">
        <v>150</v>
      </c>
      <c r="BB22" t="s">
        <v>131</v>
      </c>
      <c r="BC22" s="8">
        <v>0.39</v>
      </c>
      <c r="BE22" t="s">
        <v>106</v>
      </c>
      <c r="BF22" t="s">
        <v>107</v>
      </c>
      <c r="BG22" t="s">
        <v>108</v>
      </c>
      <c r="BH22" s="7">
        <v>0</v>
      </c>
      <c r="BJ22" t="s">
        <v>106</v>
      </c>
      <c r="BK22" t="s">
        <v>107</v>
      </c>
      <c r="BL22" t="s">
        <v>108</v>
      </c>
      <c r="BM22" s="7">
        <v>0</v>
      </c>
      <c r="BO22" t="s">
        <v>242</v>
      </c>
      <c r="BP22" t="s">
        <v>133</v>
      </c>
      <c r="BQ22" t="s">
        <v>123</v>
      </c>
      <c r="BR22" s="8">
        <v>0.31</v>
      </c>
      <c r="BT22" t="s">
        <v>106</v>
      </c>
      <c r="BU22" t="s">
        <v>107</v>
      </c>
      <c r="BV22" t="s">
        <v>108</v>
      </c>
      <c r="BW22" s="7">
        <v>0</v>
      </c>
      <c r="BY22" t="s">
        <v>242</v>
      </c>
      <c r="BZ22" t="s">
        <v>183</v>
      </c>
      <c r="CA22" t="s">
        <v>136</v>
      </c>
      <c r="CB22" s="3">
        <v>0.51</v>
      </c>
      <c r="CD22" t="s">
        <v>152</v>
      </c>
      <c r="CE22" t="s">
        <v>110</v>
      </c>
      <c r="CF22" t="s">
        <v>145</v>
      </c>
      <c r="CG22" s="8">
        <v>0.33</v>
      </c>
      <c r="CI22" t="s">
        <v>194</v>
      </c>
      <c r="CJ22" t="s">
        <v>110</v>
      </c>
      <c r="CK22" t="s">
        <v>131</v>
      </c>
      <c r="CL22" s="8">
        <v>0.12</v>
      </c>
      <c r="CN22" t="s">
        <v>195</v>
      </c>
      <c r="CO22" t="s">
        <v>346</v>
      </c>
      <c r="CP22" t="s">
        <v>142</v>
      </c>
      <c r="CQ22" s="2">
        <v>3.3</v>
      </c>
      <c r="CS22" t="s">
        <v>106</v>
      </c>
      <c r="CT22" t="s">
        <v>107</v>
      </c>
      <c r="CU22" t="s">
        <v>108</v>
      </c>
      <c r="CV22" s="7">
        <v>0</v>
      </c>
      <c r="CX22" t="s">
        <v>106</v>
      </c>
      <c r="CY22" t="s">
        <v>107</v>
      </c>
      <c r="CZ22" t="s">
        <v>108</v>
      </c>
      <c r="DA22" s="7">
        <v>0</v>
      </c>
      <c r="DC22" t="s">
        <v>106</v>
      </c>
      <c r="DD22" t="s">
        <v>107</v>
      </c>
      <c r="DE22" t="s">
        <v>108</v>
      </c>
      <c r="DF22" s="7">
        <v>0</v>
      </c>
      <c r="DH22" t="s">
        <v>347</v>
      </c>
      <c r="DI22" t="s">
        <v>127</v>
      </c>
      <c r="DJ22" t="s">
        <v>175</v>
      </c>
      <c r="DK22" s="9">
        <v>-0.33</v>
      </c>
      <c r="DM22" t="s">
        <v>106</v>
      </c>
      <c r="DN22" t="s">
        <v>107</v>
      </c>
      <c r="DO22" t="s">
        <v>108</v>
      </c>
      <c r="DP22" s="7">
        <v>0</v>
      </c>
      <c r="DR22" t="s">
        <v>281</v>
      </c>
      <c r="DS22" t="s">
        <v>348</v>
      </c>
      <c r="DT22" t="s">
        <v>119</v>
      </c>
      <c r="DU22" s="2">
        <v>3.7</v>
      </c>
      <c r="DW22" t="s">
        <v>146</v>
      </c>
      <c r="DX22" t="s">
        <v>196</v>
      </c>
      <c r="DY22" t="s">
        <v>147</v>
      </c>
      <c r="DZ22" s="8">
        <v>0.31</v>
      </c>
      <c r="EB22" t="s">
        <v>106</v>
      </c>
      <c r="EC22" t="s">
        <v>107</v>
      </c>
      <c r="ED22" t="s">
        <v>108</v>
      </c>
      <c r="EE22" s="7">
        <v>0</v>
      </c>
      <c r="EG22" t="s">
        <v>106</v>
      </c>
      <c r="EH22" t="s">
        <v>107</v>
      </c>
      <c r="EI22" t="s">
        <v>108</v>
      </c>
      <c r="EJ22" s="7">
        <v>0</v>
      </c>
      <c r="EL22" t="s">
        <v>248</v>
      </c>
      <c r="EM22" t="s">
        <v>139</v>
      </c>
      <c r="EN22" t="s">
        <v>142</v>
      </c>
      <c r="EO22" s="8">
        <v>0.08</v>
      </c>
      <c r="EQ22" t="s">
        <v>270</v>
      </c>
      <c r="ER22" t="s">
        <v>260</v>
      </c>
      <c r="ES22" t="s">
        <v>111</v>
      </c>
      <c r="ET22" s="3">
        <v>1.81</v>
      </c>
      <c r="EV22" t="s">
        <v>106</v>
      </c>
      <c r="EW22" t="s">
        <v>107</v>
      </c>
      <c r="EX22" t="s">
        <v>108</v>
      </c>
      <c r="EY22" s="7">
        <v>0</v>
      </c>
      <c r="FA22" t="s">
        <v>106</v>
      </c>
      <c r="FB22" t="s">
        <v>107</v>
      </c>
      <c r="FC22" t="s">
        <v>108</v>
      </c>
      <c r="FD22" s="7">
        <v>0</v>
      </c>
      <c r="FF22" t="s">
        <v>128</v>
      </c>
      <c r="FG22" t="s">
        <v>188</v>
      </c>
      <c r="FH22" t="s">
        <v>108</v>
      </c>
      <c r="FI22" s="3">
        <v>1.37</v>
      </c>
      <c r="FK22" t="s">
        <v>138</v>
      </c>
      <c r="FL22" t="s">
        <v>174</v>
      </c>
      <c r="FM22" t="s">
        <v>117</v>
      </c>
      <c r="FN22" s="3">
        <v>0.79</v>
      </c>
      <c r="FP22" t="s">
        <v>149</v>
      </c>
      <c r="FQ22" t="s">
        <v>174</v>
      </c>
      <c r="FR22" t="s">
        <v>142</v>
      </c>
      <c r="FS22" s="3">
        <v>0.71</v>
      </c>
      <c r="FU22" s="14" t="s">
        <v>242</v>
      </c>
      <c r="FV22" t="s">
        <v>233</v>
      </c>
      <c r="FW22" t="s">
        <v>123</v>
      </c>
      <c r="FX22" s="8">
        <v>0.39</v>
      </c>
      <c r="FZ22" t="s">
        <v>179</v>
      </c>
      <c r="GA22" t="s">
        <v>183</v>
      </c>
      <c r="GB22" t="s">
        <v>114</v>
      </c>
      <c r="GC22" s="8">
        <v>0.34</v>
      </c>
      <c r="GE22" t="s">
        <v>349</v>
      </c>
      <c r="GF22" t="s">
        <v>183</v>
      </c>
      <c r="GG22" t="s">
        <v>136</v>
      </c>
      <c r="GH22" s="5">
        <v>-4.22</v>
      </c>
      <c r="GJ22" t="s">
        <v>190</v>
      </c>
      <c r="GK22" t="s">
        <v>271</v>
      </c>
      <c r="GL22" t="s">
        <v>123</v>
      </c>
      <c r="GM22" s="3">
        <v>0.62</v>
      </c>
      <c r="GO22" t="s">
        <v>120</v>
      </c>
      <c r="GP22" t="s">
        <v>252</v>
      </c>
      <c r="GQ22" t="s">
        <v>123</v>
      </c>
      <c r="GR22" s="3">
        <v>1.1100000000000001</v>
      </c>
      <c r="GT22" t="s">
        <v>304</v>
      </c>
      <c r="GU22" t="s">
        <v>110</v>
      </c>
      <c r="GV22" t="s">
        <v>114</v>
      </c>
      <c r="GW22" s="3">
        <v>0.88</v>
      </c>
    </row>
    <row r="23" spans="1:205" x14ac:dyDescent="0.25">
      <c r="A23" t="s">
        <v>367</v>
      </c>
      <c r="E23" s="2">
        <v>2.29</v>
      </c>
      <c r="J23" s="1">
        <v>6.9</v>
      </c>
      <c r="O23" s="5">
        <v>-3.54</v>
      </c>
      <c r="T23" s="1">
        <v>17.11</v>
      </c>
      <c r="Y23" s="2">
        <v>4.9800000000000004</v>
      </c>
      <c r="AD23" s="2">
        <v>3.32</v>
      </c>
      <c r="AI23" s="6">
        <v>-1.48</v>
      </c>
      <c r="AN23" s="2">
        <v>3.84</v>
      </c>
      <c r="AS23" s="1">
        <v>16.690000000000001</v>
      </c>
      <c r="AX23" s="1">
        <v>12.9</v>
      </c>
      <c r="BC23" s="1">
        <v>7.72</v>
      </c>
      <c r="BH23" s="1">
        <v>9.7799999999999994</v>
      </c>
      <c r="BM23" s="1">
        <v>5.37</v>
      </c>
      <c r="BR23" s="2">
        <v>3.36</v>
      </c>
      <c r="BW23" s="4">
        <v>-6.19</v>
      </c>
      <c r="CB23" s="2">
        <v>2.57</v>
      </c>
      <c r="CG23" s="1">
        <v>7.18</v>
      </c>
      <c r="CL23" s="1">
        <v>15.39</v>
      </c>
      <c r="CQ23" s="1">
        <v>38.14</v>
      </c>
      <c r="CV23" s="1">
        <v>6.71</v>
      </c>
      <c r="DA23" s="1">
        <v>11.54</v>
      </c>
      <c r="DF23" s="6">
        <v>-0.56999999999999995</v>
      </c>
      <c r="DK23" s="5">
        <v>-4.6900000000000004</v>
      </c>
      <c r="DP23" s="1">
        <v>6.22</v>
      </c>
      <c r="DU23" s="1">
        <v>5.69</v>
      </c>
      <c r="DZ23" s="2">
        <v>2.3199999999999998</v>
      </c>
      <c r="EE23" s="5">
        <v>-4.84</v>
      </c>
      <c r="EJ23" s="5">
        <v>-2.62</v>
      </c>
      <c r="EO23" s="2">
        <v>2.88</v>
      </c>
      <c r="ET23" s="1">
        <v>12.73</v>
      </c>
      <c r="EY23" s="2">
        <v>4.54</v>
      </c>
      <c r="FD23" s="2">
        <v>2.0299999999999998</v>
      </c>
      <c r="FI23" s="2">
        <v>3.49</v>
      </c>
      <c r="FN23" s="1">
        <v>6.71</v>
      </c>
      <c r="FS23" s="1">
        <v>7.37</v>
      </c>
      <c r="FX23" s="12">
        <f>SUM(FX6:FX22)</f>
        <v>5.54</v>
      </c>
      <c r="GC23" s="9">
        <v>-0.09</v>
      </c>
      <c r="GH23" s="6">
        <v>-1.88</v>
      </c>
      <c r="GM23" s="1">
        <v>7.6</v>
      </c>
      <c r="GR23" s="2">
        <v>4.04</v>
      </c>
      <c r="GW23" s="1">
        <v>16.59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G10" sqref="G10"/>
    </sheetView>
  </sheetViews>
  <sheetFormatPr defaultRowHeight="15" x14ac:dyDescent="0.25"/>
  <cols>
    <col min="1" max="1" width="31.85546875" bestFit="1" customWidth="1"/>
    <col min="2" max="2" width="12.85546875" customWidth="1"/>
    <col min="3" max="3" width="16" hidden="1" customWidth="1"/>
    <col min="4" max="4" width="16" bestFit="1" customWidth="1"/>
  </cols>
  <sheetData>
    <row r="1" spans="1:4" ht="15.75" x14ac:dyDescent="0.25">
      <c r="A1" s="11" t="s">
        <v>353</v>
      </c>
    </row>
    <row r="2" spans="1:4" ht="15.75" x14ac:dyDescent="0.25">
      <c r="A2" s="11" t="s">
        <v>363</v>
      </c>
    </row>
    <row r="4" spans="1:4" x14ac:dyDescent="0.25">
      <c r="A4" t="s">
        <v>351</v>
      </c>
      <c r="B4" t="s">
        <v>352</v>
      </c>
      <c r="C4" t="s">
        <v>366</v>
      </c>
      <c r="D4" t="s">
        <v>364</v>
      </c>
    </row>
    <row r="5" spans="1:4" x14ac:dyDescent="0.25">
      <c r="A5" t="s">
        <v>22</v>
      </c>
      <c r="B5">
        <v>5</v>
      </c>
      <c r="C5" s="1">
        <v>68.22</v>
      </c>
      <c r="D5" s="12" t="str">
        <f>TEXT(C5/24,"[h]:mm")</f>
        <v>68:13</v>
      </c>
    </row>
    <row r="6" spans="1:4" x14ac:dyDescent="0.25">
      <c r="A6" t="s">
        <v>11</v>
      </c>
      <c r="B6">
        <v>3</v>
      </c>
      <c r="C6" s="1">
        <v>21.66</v>
      </c>
      <c r="D6" s="12" t="str">
        <f>TEXT(C6/24,"[h]:mm")</f>
        <v>21:39</v>
      </c>
    </row>
    <row r="7" spans="1:4" x14ac:dyDescent="0.25">
      <c r="A7" t="s">
        <v>43</v>
      </c>
      <c r="B7">
        <v>6</v>
      </c>
      <c r="C7" s="1">
        <v>35.71</v>
      </c>
      <c r="D7" s="12" t="str">
        <f>TEXT(C7/24,"[h]:mm")</f>
        <v>35:42</v>
      </c>
    </row>
    <row r="8" spans="1:4" x14ac:dyDescent="0.25">
      <c r="A8" t="s">
        <v>32</v>
      </c>
      <c r="B8">
        <v>3</v>
      </c>
      <c r="C8" s="3">
        <v>1.31</v>
      </c>
      <c r="D8" s="12" t="str">
        <f>TEXT(C8/24,"[h]:mm")</f>
        <v>1:18</v>
      </c>
    </row>
    <row r="9" spans="1:4" x14ac:dyDescent="0.25">
      <c r="A9" t="s">
        <v>45</v>
      </c>
      <c r="B9">
        <v>3</v>
      </c>
      <c r="C9" s="1">
        <v>22.24</v>
      </c>
      <c r="D9" s="12" t="str">
        <f>TEXT(C9/24,"[h]:mm")</f>
        <v>22:14</v>
      </c>
    </row>
    <row r="10" spans="1:4" x14ac:dyDescent="0.25">
      <c r="A10" t="s">
        <v>89</v>
      </c>
      <c r="B10">
        <v>1</v>
      </c>
      <c r="C10" s="5">
        <v>-2.67</v>
      </c>
      <c r="D10" s="17">
        <v>0.22916666666666666</v>
      </c>
    </row>
    <row r="11" spans="1:4" x14ac:dyDescent="0.25">
      <c r="A11" t="s">
        <v>15</v>
      </c>
      <c r="B11">
        <v>4</v>
      </c>
      <c r="C11" s="1">
        <v>25.68</v>
      </c>
      <c r="D11" s="12" t="str">
        <f>TEXT(C11/24,"[h]:mm")</f>
        <v>25:40</v>
      </c>
    </row>
    <row r="12" spans="1:4" x14ac:dyDescent="0.25">
      <c r="A12" t="s">
        <v>36</v>
      </c>
      <c r="B12">
        <v>4</v>
      </c>
      <c r="C12" s="1">
        <v>33.67</v>
      </c>
      <c r="D12" s="12" t="str">
        <f>TEXT(C12/24,"[h]:mm")</f>
        <v>33:40</v>
      </c>
    </row>
    <row r="13" spans="1:4" x14ac:dyDescent="0.25">
      <c r="A13" t="s">
        <v>51</v>
      </c>
      <c r="B13">
        <v>2</v>
      </c>
      <c r="C13" s="4">
        <v>-7.31</v>
      </c>
      <c r="D13" s="13" t="str">
        <f>TEXT(C13/24,"[h]:mm")</f>
        <v>-7:18</v>
      </c>
    </row>
    <row r="14" spans="1:4" x14ac:dyDescent="0.25">
      <c r="A14" t="s">
        <v>19</v>
      </c>
      <c r="B14">
        <v>2</v>
      </c>
      <c r="C14" s="5">
        <v>-4.1100000000000003</v>
      </c>
      <c r="D14" s="13" t="str">
        <f>TEXT(C14/24,"[h]:mm")</f>
        <v>-4:06</v>
      </c>
    </row>
    <row r="15" spans="1:4" x14ac:dyDescent="0.25">
      <c r="A15" t="s">
        <v>29</v>
      </c>
      <c r="B15">
        <v>8</v>
      </c>
      <c r="C15" s="1">
        <v>35.03</v>
      </c>
      <c r="D15" s="12" t="str">
        <f>TEXT(C15/24,"[h]:mm")</f>
        <v>35:01</v>
      </c>
    </row>
  </sheetData>
  <conditionalFormatting sqref="C5:C15">
    <cfRule type="cellIs" dxfId="7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L18" sqref="L18"/>
    </sheetView>
  </sheetViews>
  <sheetFormatPr defaultRowHeight="15" x14ac:dyDescent="0.25"/>
  <cols>
    <col min="1" max="1" width="10.140625" customWidth="1"/>
    <col min="2" max="2" width="12.7109375" customWidth="1"/>
    <col min="3" max="3" width="16.42578125" hidden="1" customWidth="1"/>
    <col min="4" max="4" width="16.42578125" bestFit="1" customWidth="1"/>
  </cols>
  <sheetData>
    <row r="1" spans="1:4" ht="15.75" x14ac:dyDescent="0.25">
      <c r="A1" s="11" t="s">
        <v>355</v>
      </c>
    </row>
    <row r="2" spans="1:4" ht="15.75" x14ac:dyDescent="0.25">
      <c r="A2" s="11" t="s">
        <v>363</v>
      </c>
    </row>
    <row r="3" spans="1:4" x14ac:dyDescent="0.25">
      <c r="A3" s="10"/>
    </row>
    <row r="4" spans="1:4" ht="13.5" customHeight="1" x14ac:dyDescent="0.25">
      <c r="A4" t="s">
        <v>3</v>
      </c>
      <c r="B4" t="s">
        <v>352</v>
      </c>
      <c r="C4" t="s">
        <v>366</v>
      </c>
      <c r="D4" t="s">
        <v>365</v>
      </c>
    </row>
    <row r="5" spans="1:4" x14ac:dyDescent="0.25">
      <c r="A5" t="s">
        <v>12</v>
      </c>
      <c r="B5">
        <v>41</v>
      </c>
      <c r="C5" s="12">
        <v>229.43</v>
      </c>
      <c r="D5" s="12" t="str">
        <f>TEXT(C5/24,"[h]:mm")</f>
        <v>229:25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tabSelected="1" workbookViewId="0">
      <selection activeCell="G19" sqref="G19"/>
    </sheetView>
  </sheetViews>
  <sheetFormatPr defaultRowHeight="15" x14ac:dyDescent="0.25"/>
  <cols>
    <col min="2" max="2" width="12.7109375" customWidth="1"/>
    <col min="3" max="3" width="16" hidden="1" customWidth="1"/>
    <col min="4" max="4" width="16" bestFit="1" customWidth="1"/>
    <col min="6" max="6" width="7.5703125" customWidth="1"/>
  </cols>
  <sheetData>
    <row r="1" spans="1:4" ht="15.75" x14ac:dyDescent="0.25">
      <c r="A1" s="11" t="s">
        <v>357</v>
      </c>
    </row>
    <row r="2" spans="1:4" ht="15.75" x14ac:dyDescent="0.25">
      <c r="A2" s="11" t="s">
        <v>363</v>
      </c>
    </row>
    <row r="3" spans="1:4" x14ac:dyDescent="0.25">
      <c r="A3" s="10"/>
    </row>
    <row r="4" spans="1:4" x14ac:dyDescent="0.25">
      <c r="A4" t="s">
        <v>4</v>
      </c>
      <c r="B4" t="s">
        <v>352</v>
      </c>
      <c r="C4" t="s">
        <v>366</v>
      </c>
      <c r="D4" t="s">
        <v>364</v>
      </c>
    </row>
    <row r="5" spans="1:4" x14ac:dyDescent="0.25">
      <c r="A5" t="s">
        <v>23</v>
      </c>
      <c r="B5">
        <v>5</v>
      </c>
      <c r="C5" s="12">
        <v>68.22</v>
      </c>
      <c r="D5" s="12" t="str">
        <f t="shared" ref="D5:D7" si="0">TEXT(C5/24,"[h]:mm")</f>
        <v>68:13</v>
      </c>
    </row>
    <row r="6" spans="1:4" x14ac:dyDescent="0.25">
      <c r="A6" t="s">
        <v>13</v>
      </c>
      <c r="B6">
        <v>20</v>
      </c>
      <c r="C6" s="12">
        <v>113.37</v>
      </c>
      <c r="D6" s="12" t="str">
        <f t="shared" si="0"/>
        <v>113:22</v>
      </c>
    </row>
    <row r="7" spans="1:4" x14ac:dyDescent="0.25">
      <c r="A7" t="s">
        <v>20</v>
      </c>
      <c r="B7">
        <v>16</v>
      </c>
      <c r="C7" s="12">
        <v>47.84</v>
      </c>
      <c r="D7" s="12" t="str">
        <f t="shared" si="0"/>
        <v>47:50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F2D8-6D21-4A10-8D0F-C79EEA29FEC3}">
  <dimension ref="A1:B41"/>
  <sheetViews>
    <sheetView workbookViewId="0">
      <selection activeCell="E7" sqref="E7"/>
    </sheetView>
  </sheetViews>
  <sheetFormatPr defaultRowHeight="15" x14ac:dyDescent="0.25"/>
  <cols>
    <col min="1" max="1" width="21" bestFit="1" customWidth="1"/>
    <col min="2" max="2" width="6.7109375" bestFit="1" customWidth="1"/>
  </cols>
  <sheetData>
    <row r="1" spans="1:2" x14ac:dyDescent="0.25">
      <c r="A1" t="s">
        <v>14</v>
      </c>
      <c r="B1">
        <v>2.29</v>
      </c>
    </row>
    <row r="2" spans="1:2" x14ac:dyDescent="0.25">
      <c r="A2" t="s">
        <v>17</v>
      </c>
      <c r="B2">
        <v>6.9</v>
      </c>
    </row>
    <row r="3" spans="1:2" x14ac:dyDescent="0.25">
      <c r="A3" t="s">
        <v>18</v>
      </c>
      <c r="B3">
        <v>-3.54</v>
      </c>
    </row>
    <row r="4" spans="1:2" x14ac:dyDescent="0.25">
      <c r="A4" t="s">
        <v>21</v>
      </c>
      <c r="B4">
        <v>17.11</v>
      </c>
    </row>
    <row r="5" spans="1:2" x14ac:dyDescent="0.25">
      <c r="A5" t="s">
        <v>24</v>
      </c>
      <c r="B5">
        <v>4.9800000000000004</v>
      </c>
    </row>
    <row r="6" spans="1:2" x14ac:dyDescent="0.25">
      <c r="A6" t="s">
        <v>28</v>
      </c>
      <c r="B6">
        <v>3.32</v>
      </c>
    </row>
    <row r="7" spans="1:2" x14ac:dyDescent="0.25">
      <c r="A7" t="s">
        <v>31</v>
      </c>
      <c r="B7">
        <v>-1.48</v>
      </c>
    </row>
    <row r="8" spans="1:2" x14ac:dyDescent="0.25">
      <c r="A8" t="s">
        <v>33</v>
      </c>
      <c r="B8">
        <v>3.84</v>
      </c>
    </row>
    <row r="9" spans="1:2" x14ac:dyDescent="0.25">
      <c r="A9" t="s">
        <v>34</v>
      </c>
      <c r="B9">
        <v>16.690000000000001</v>
      </c>
    </row>
    <row r="10" spans="1:2" x14ac:dyDescent="0.25">
      <c r="A10" t="s">
        <v>35</v>
      </c>
      <c r="B10">
        <v>12.9</v>
      </c>
    </row>
    <row r="11" spans="1:2" x14ac:dyDescent="0.25">
      <c r="A11" t="s">
        <v>37</v>
      </c>
      <c r="B11">
        <v>7.72</v>
      </c>
    </row>
    <row r="12" spans="1:2" x14ac:dyDescent="0.25">
      <c r="A12" t="s">
        <v>40</v>
      </c>
      <c r="B12">
        <v>9.7799999999999994</v>
      </c>
    </row>
    <row r="13" spans="1:2" x14ac:dyDescent="0.25">
      <c r="A13" t="s">
        <v>42</v>
      </c>
      <c r="B13">
        <v>5.37</v>
      </c>
    </row>
    <row r="14" spans="1:2" x14ac:dyDescent="0.25">
      <c r="A14" t="s">
        <v>44</v>
      </c>
      <c r="B14">
        <v>3.36</v>
      </c>
    </row>
    <row r="15" spans="1:2" x14ac:dyDescent="0.25">
      <c r="A15" t="s">
        <v>46</v>
      </c>
      <c r="B15">
        <v>-6.19</v>
      </c>
    </row>
    <row r="16" spans="1:2" x14ac:dyDescent="0.25">
      <c r="A16" t="s">
        <v>47</v>
      </c>
      <c r="B16">
        <v>2.57</v>
      </c>
    </row>
    <row r="17" spans="1:2" x14ac:dyDescent="0.25">
      <c r="A17" t="s">
        <v>48</v>
      </c>
      <c r="B17">
        <v>7.18</v>
      </c>
    </row>
    <row r="18" spans="1:2" x14ac:dyDescent="0.25">
      <c r="A18" t="s">
        <v>49</v>
      </c>
      <c r="B18">
        <v>15.39</v>
      </c>
    </row>
    <row r="19" spans="1:2" x14ac:dyDescent="0.25">
      <c r="A19" t="s">
        <v>53</v>
      </c>
      <c r="B19">
        <v>38.14</v>
      </c>
    </row>
    <row r="20" spans="1:2" x14ac:dyDescent="0.25">
      <c r="A20" t="s">
        <v>56</v>
      </c>
      <c r="B20">
        <v>6.71</v>
      </c>
    </row>
    <row r="21" spans="1:2" x14ac:dyDescent="0.25">
      <c r="A21" t="s">
        <v>57</v>
      </c>
      <c r="B21">
        <v>11.54</v>
      </c>
    </row>
    <row r="22" spans="1:2" x14ac:dyDescent="0.25">
      <c r="A22" t="s">
        <v>58</v>
      </c>
      <c r="B22">
        <v>-0.56999999999999995</v>
      </c>
    </row>
    <row r="23" spans="1:2" x14ac:dyDescent="0.25">
      <c r="A23" t="s">
        <v>59</v>
      </c>
      <c r="B23">
        <v>-4.6900000000000004</v>
      </c>
    </row>
    <row r="24" spans="1:2" x14ac:dyDescent="0.25">
      <c r="A24" t="s">
        <v>60</v>
      </c>
      <c r="B24">
        <v>6.22</v>
      </c>
    </row>
    <row r="25" spans="1:2" x14ac:dyDescent="0.25">
      <c r="A25" t="s">
        <v>61</v>
      </c>
      <c r="B25">
        <v>5.69</v>
      </c>
    </row>
    <row r="26" spans="1:2" x14ac:dyDescent="0.25">
      <c r="A26" t="s">
        <v>64</v>
      </c>
      <c r="B26">
        <v>2.3199999999999998</v>
      </c>
    </row>
    <row r="27" spans="1:2" x14ac:dyDescent="0.25">
      <c r="A27" t="s">
        <v>67</v>
      </c>
      <c r="B27">
        <v>-4.84</v>
      </c>
    </row>
    <row r="28" spans="1:2" x14ac:dyDescent="0.25">
      <c r="A28" t="s">
        <v>68</v>
      </c>
      <c r="B28">
        <v>-2.62</v>
      </c>
    </row>
    <row r="29" spans="1:2" x14ac:dyDescent="0.25">
      <c r="A29" t="s">
        <v>71</v>
      </c>
      <c r="B29">
        <v>2.88</v>
      </c>
    </row>
    <row r="30" spans="1:2" x14ac:dyDescent="0.25">
      <c r="A30" t="s">
        <v>78</v>
      </c>
      <c r="B30">
        <v>12.73</v>
      </c>
    </row>
    <row r="31" spans="1:2" x14ac:dyDescent="0.25">
      <c r="A31" t="s">
        <v>81</v>
      </c>
      <c r="B31">
        <v>4.54</v>
      </c>
    </row>
    <row r="32" spans="1:2" x14ac:dyDescent="0.25">
      <c r="A32" t="s">
        <v>82</v>
      </c>
      <c r="B32">
        <v>2.0299999999999998</v>
      </c>
    </row>
    <row r="33" spans="1:2" x14ac:dyDescent="0.25">
      <c r="A33" t="s">
        <v>83</v>
      </c>
      <c r="B33">
        <v>3.49</v>
      </c>
    </row>
    <row r="34" spans="1:2" x14ac:dyDescent="0.25">
      <c r="A34" t="s">
        <v>84</v>
      </c>
      <c r="B34">
        <v>6.71</v>
      </c>
    </row>
    <row r="35" spans="1:2" x14ac:dyDescent="0.25">
      <c r="A35" t="s">
        <v>85</v>
      </c>
      <c r="B35">
        <v>7.37</v>
      </c>
    </row>
    <row r="36" spans="1:2" x14ac:dyDescent="0.25">
      <c r="A36" t="s">
        <v>90</v>
      </c>
      <c r="B36">
        <v>5.54</v>
      </c>
    </row>
    <row r="37" spans="1:2" x14ac:dyDescent="0.25">
      <c r="A37" t="s">
        <v>92</v>
      </c>
      <c r="B37">
        <v>-0.09</v>
      </c>
    </row>
    <row r="38" spans="1:2" x14ac:dyDescent="0.25">
      <c r="A38" t="s">
        <v>94</v>
      </c>
      <c r="B38">
        <v>-1.88</v>
      </c>
    </row>
    <row r="39" spans="1:2" x14ac:dyDescent="0.25">
      <c r="A39" t="s">
        <v>95</v>
      </c>
      <c r="B39">
        <v>7.6</v>
      </c>
    </row>
    <row r="40" spans="1:2" x14ac:dyDescent="0.25">
      <c r="A40" t="s">
        <v>96</v>
      </c>
      <c r="B40">
        <v>4.04</v>
      </c>
    </row>
    <row r="41" spans="1:2" x14ac:dyDescent="0.25">
      <c r="A41" t="s">
        <v>99</v>
      </c>
      <c r="B41">
        <v>16.59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Leave by Employee</vt:lpstr>
      <vt:lpstr>Leave by Department</vt:lpstr>
      <vt:lpstr>Leave by Country</vt:lpstr>
      <vt:lpstr>Leave by Group</vt:lpstr>
      <vt:lpstr>Time by Employee</vt:lpstr>
      <vt:lpstr>Time by Department</vt:lpstr>
      <vt:lpstr>Time by Country</vt:lpstr>
      <vt:lpstr>Time by Group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2026-02-26T15:11:05Z</dcterms:created>
  <dcterms:modified xsi:type="dcterms:W3CDTF">2026-02-26T17:12:50Z</dcterms:modified>
</cp:coreProperties>
</file>